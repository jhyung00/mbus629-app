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Mac\Home\Downloads\"/>
    </mc:Choice>
  </mc:AlternateContent>
  <xr:revisionPtr revIDLastSave="0" documentId="13_ncr:20001_{B9F11FEF-CB78-4890-9261-6B1395282C80}" xr6:coauthVersionLast="47" xr6:coauthVersionMax="47" xr10:uidLastSave="{00000000-0000-0000-0000-000000000000}"/>
  <workbookProtection workbookPassword="C060" lockStructure="1"/>
  <bookViews>
    <workbookView xWindow="39045" yWindow="-4530" windowWidth="24165" windowHeight="18795" activeTab="1" xr2:uid="{00000000-000D-0000-FFFF-FFFF00000000}"/>
  </bookViews>
  <sheets>
    <sheet name="Reference Data" sheetId="1" r:id="rId1"/>
    <sheet name="ITW Analysis" sheetId="2" r:id="rId2"/>
    <sheet name="PH Analysis" sheetId="3" r:id="rId3"/>
    <sheet name="ITW Key" sheetId="4" state="hidden" r:id="rId4"/>
    <sheet name="PH Key" sheetId="5" state="hidden" r:id="rId5"/>
  </sheets>
  <calcPr calcId="0"/>
  <fileRecoveryPr repairLoad="1"/>
</workbook>
</file>

<file path=xl/sharedStrings.xml><?xml version="1.0" encoding="utf-8"?>
<sst xmlns="http://schemas.openxmlformats.org/spreadsheetml/2006/main" count="346" uniqueCount="118">
  <si>
    <t>Illinois Tool Works (ITW)</t>
  </si>
  <si>
    <t>Currency: $ Millions</t>
  </si>
  <si>
    <t>Balance Sheet</t>
  </si>
  <si>
    <t>2022</t>
  </si>
  <si>
    <t>2021</t>
  </si>
  <si>
    <t>Total Current Assets</t>
  </si>
  <si>
    <t>Net Plant &amp; Equipment</t>
  </si>
  <si>
    <t>Goodwill &amp; Intangibles</t>
  </si>
  <si>
    <t>Deferred Income Taxes</t>
  </si>
  <si>
    <t>Other Assets</t>
  </si>
  <si>
    <t>Total Assets</t>
  </si>
  <si>
    <t>Total Current Liabilities</t>
  </si>
  <si>
    <t>Long-Term Debt</t>
  </si>
  <si>
    <t>Deferred Income Taxes (Liab)</t>
  </si>
  <si>
    <t>Other Noncurrent Liabs</t>
  </si>
  <si>
    <t>Total Liabilities</t>
  </si>
  <si>
    <t>Total Equity</t>
  </si>
  <si>
    <t>Income Statement</t>
  </si>
  <si>
    <t>Operating Revenue</t>
  </si>
  <si>
    <t>Cost of Revenue</t>
  </si>
  <si>
    <t>Gross Profit</t>
  </si>
  <si>
    <t>Selling, Admin &amp; R&amp;D</t>
  </si>
  <si>
    <t>Amortization &amp; Impairment</t>
  </si>
  <si>
    <t>Operating Income</t>
  </si>
  <si>
    <t>Interest Expense</t>
  </si>
  <si>
    <t>Other (income) expense</t>
  </si>
  <si>
    <t>Income Before Taxes</t>
  </si>
  <si>
    <t>Income Taxes</t>
  </si>
  <si>
    <t>Net Income</t>
  </si>
  <si>
    <t>Supplemental Info</t>
  </si>
  <si>
    <t>Tax Rate</t>
  </si>
  <si>
    <t>Non-Operating Items (Pre-tax)</t>
  </si>
  <si>
    <t>Tax Shield (22%)</t>
  </si>
  <si>
    <t>Average Equity</t>
  </si>
  <si>
    <t>Average NOA</t>
  </si>
  <si>
    <t>Average Total Assets</t>
  </si>
  <si>
    <t>?</t>
  </si>
  <si>
    <t>Parker Hannifin (PH)</t>
  </si>
  <si>
    <t>Currency: $ Thousands</t>
  </si>
  <si>
    <t>Net PPE</t>
  </si>
  <si>
    <t>Goodwill</t>
  </si>
  <si>
    <t>Intangible Assets</t>
  </si>
  <si>
    <t>Long-term Debt</t>
  </si>
  <si>
    <t>Pensions</t>
  </si>
  <si>
    <t>Other Liabilities</t>
  </si>
  <si>
    <t>Net Sales</t>
  </si>
  <si>
    <t>Cost of Sales</t>
  </si>
  <si>
    <t>SG&amp;A Expenses</t>
  </si>
  <si>
    <t>Gain on disposal of assets</t>
  </si>
  <si>
    <t>Loss on forward contracts</t>
  </si>
  <si>
    <t>Other expense (income), net</t>
  </si>
  <si>
    <t>Less: Noncontrolling interest</t>
  </si>
  <si>
    <t>Net Income Attributable to Common</t>
  </si>
  <si>
    <t>DuPont Analysis - Illinois Tool Works (ITW)</t>
  </si>
  <si>
    <t>1. Data Preparation</t>
  </si>
  <si>
    <t>Average Total Assets (2022)</t>
  </si>
  <si>
    <t>2. ROE &amp; DuPont Disaggregation</t>
  </si>
  <si>
    <t>ROE</t>
  </si>
  <si>
    <t>ROA</t>
  </si>
  <si>
    <t>Financial Leverage</t>
  </si>
  <si>
    <t>NCIR</t>
  </si>
  <si>
    <t>Profit Margin</t>
  </si>
  <si>
    <t>Asset Turnover</t>
  </si>
  <si>
    <t>3. Classification &amp; NOA</t>
  </si>
  <si>
    <t>Item</t>
  </si>
  <si>
    <t>Classification</t>
  </si>
  <si>
    <t>Correct?</t>
  </si>
  <si>
    <t>Cash and equivalents</t>
  </si>
  <si>
    <t>Trade receivables</t>
  </si>
  <si>
    <t>Inventories</t>
  </si>
  <si>
    <t>Prepaid expenses &amp; other</t>
  </si>
  <si>
    <t>Assets held for sale</t>
  </si>
  <si>
    <t>Net plant and equipment</t>
  </si>
  <si>
    <t>Intangible assets</t>
  </si>
  <si>
    <t>Deferred income taxes (Asset)</t>
  </si>
  <si>
    <t>Other assets</t>
  </si>
  <si>
    <t>Short-term debt</t>
  </si>
  <si>
    <t>Accounts payable</t>
  </si>
  <si>
    <t>Lease liabs (Current)</t>
  </si>
  <si>
    <t>Accrued expenses</t>
  </si>
  <si>
    <t>Cash dividends payable</t>
  </si>
  <si>
    <t>Income taxes payable</t>
  </si>
  <si>
    <t>Liabilities held for sale</t>
  </si>
  <si>
    <t>Long-term debt</t>
  </si>
  <si>
    <t>Deferred income taxes (Liab)</t>
  </si>
  <si>
    <t>Noncurrent income taxes</t>
  </si>
  <si>
    <t>Lease liabs (Long-term)</t>
  </si>
  <si>
    <t>Other liabilities</t>
  </si>
  <si>
    <t>Calculated Average NOA</t>
  </si>
  <si>
    <t>4. NOPAT &amp; RNOA Decomposition</t>
  </si>
  <si>
    <t>NOPAT (2022)</t>
  </si>
  <si>
    <t>RNOA</t>
  </si>
  <si>
    <t>NOPM</t>
  </si>
  <si>
    <t>NOAT</t>
  </si>
  <si>
    <t>5. Interpretation</t>
  </si>
  <si>
    <t>DuPont Analysis of ROE</t>
  </si>
  <si>
    <t>RNOA Drivers</t>
  </si>
  <si>
    <t>Operating vs. Total Efficiency</t>
  </si>
  <si>
    <t>DuPont Analysis - Parker Hannifin (PH)</t>
  </si>
  <si>
    <t>Marketable securities</t>
  </si>
  <si>
    <t>Non-trade notes rec</t>
  </si>
  <si>
    <t>Deferred income taxes (A)</t>
  </si>
  <si>
    <t>Investments/Other</t>
  </si>
  <si>
    <t>Intangibles</t>
  </si>
  <si>
    <t>Notes payable</t>
  </si>
  <si>
    <t>Accrued payrolls</t>
  </si>
  <si>
    <t>Accrued taxes</t>
  </si>
  <si>
    <t>Other accrued liabs</t>
  </si>
  <si>
    <t>Deferred income taxes</t>
  </si>
  <si>
    <t>TEACHER KEY</t>
  </si>
  <si>
    <t>Non-Operating</t>
  </si>
  <si>
    <t>Operating</t>
  </si>
  <si>
    <t>ROE (90.4%) is significantly driven by Financial Leverage (4.69). While ROA (19.3%) is healthy, the multiplier effect of debt pushes ROE to very high levels.</t>
  </si>
  <si>
    <t>RNOA (28.4%) is decomposed into NOPM (18.8%) and NOAT (1.51). Compared to the standard ROA, RNOA provides a clearer picture of operating efficiency by removing non-operating assets (like excess cash) and liabilities.</t>
  </si>
  <si>
    <t>Net Operating Asset Turnover (NOAT) is 1.51, which is higher than Total Asset Turnover (AT) of 1.01. This indicates that the core operating assets are generating revenue more efficiently than the total asset base.</t>
  </si>
  <si>
    <t>ROE (15.3%) is driven by Financial Leverage (2.68). However, compared to ROA (5.7%), the leverage effect is positive but less dramatic than ITW's, indicating a more moderate debt structure.</t>
  </si>
  <si>
    <t>RNOA (14.3%) is decomposed into NOPM (14.4%) and NOAT (1.00). The operating return is significantly higher than the overall ROA (5.7%), highlighting that the core business is more profitable than the aggregate view suggests.</t>
  </si>
  <si>
    <t>Net Operating Asset Turnover (NOAT) is 1.00, compared to Total Asset Turnover (AT) of 0.69. This difference shows that operating assets are turning over sales much more efficiently than the total asset 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</si>
</sst>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4"/>
      <name val="Calibri"/>
      <family val="2"/>
    </font>
    <font>
      <i/>
      <sz val="10"/>
      <name val="Calibri"/>
      <family val="2"/>
    </font>
    <font>
      <b/>
      <sz val="11"/>
      <color rgb="FF1E293B"/>
      <name val="Calibri"/>
      <family val="2"/>
    </font>
    <font>
      <b/>
      <sz val="11"/>
      <color rgb="FFFFFFFF"/>
      <name val="Calibri"/>
      <family val="2"/>
    </font>
    <font>
      <b/>
      <sz val="11"/>
      <name val="Calibri"/>
      <family val="2"/>
    </font>
    <font>
      <b/>
      <sz val="11"/>
      <color rgb="FFFF0000"/>
      <name val="Calibri"/>
      <family val="2"/>
    </font>
  </fonts>
  <fills count="5">
    <fill>
      <patternFill patternType="none"/>
    </fill>
    <fill>
      <patternFill patternType="gray125"/>
    </fill>
    <fill>
      <patternFill patternType="solid">
        <fgColor rgb="FFF1F5F9"/>
        <bgColor rgb="FFF1F5F9"/>
      </patternFill>
    </fill>
    <fill>
      <patternFill patternType="solid">
        <fgColor rgb="FF1E293B"/>
        <bgColor rgb="FF1E293B"/>
      </patternFill>
    </fill>
    <fill>
      <patternFill patternType="solid">
        <fgColor rgb="FFDCFCE7"/>
        <bgColor rgb="FFDCFCE7"/>
      </patternFill>
    </fill>
  </fills>
  <borders count="3">
    <border>
      <left/>
      <right/>
      <top/>
      <bottom/>
      <diagonal/>
    </border>
    <border>
      <left/>
      <right/>
      <top/>
      <bottom style="thin">
        <color rgb="FFCBD5E1"/>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2" borderId="0" xfId="0" applyFont="1" applyFill="1"/>
    <xf numFmtId="3" fontId="0" fillId="0" borderId="0" xfId="0" applyNumberFormat="1"/>
    <xf numFmtId="10" fontId="0" fillId="0" borderId="0" xfId="0" applyNumberFormat="1"/>
    <xf numFmtId="0" fontId="4" fillId="3" borderId="0" xfId="0" applyFont="1" applyFill="1"/>
    <xf numFmtId="0" fontId="0" fillId="3" borderId="0" xfId="0" applyFill="1"/>
    <xf numFmtId="164" fontId="0" fillId="0" borderId="1" xfId="0" applyNumberFormat="1" applyBorder="1"/>
    <xf numFmtId="0" fontId="3" fillId="0" borderId="0" xfId="0" applyFont="1"/>
    <xf numFmtId="10" fontId="0" fillId="0" borderId="1" xfId="0" applyNumberFormat="1" applyBorder="1"/>
    <xf numFmtId="2" fontId="0" fillId="0" borderId="1" xfId="0" applyNumberFormat="1" applyBorder="1"/>
    <xf numFmtId="0" fontId="0" fillId="0" borderId="1" xfId="0" applyBorder="1"/>
    <xf numFmtId="0" fontId="5" fillId="0" borderId="0" xfId="0" applyFont="1"/>
    <xf numFmtId="3" fontId="0" fillId="0" borderId="1" xfId="0" applyNumberFormat="1" applyBorder="1"/>
    <xf numFmtId="0" fontId="6" fillId="0" borderId="0" xfId="0" applyFont="1"/>
    <xf numFmtId="164" fontId="0" fillId="4" borderId="1" xfId="0" applyNumberFormat="1" applyFill="1" applyBorder="1"/>
    <xf numFmtId="10" fontId="0" fillId="4" borderId="1" xfId="0" applyNumberFormat="1" applyFill="1" applyBorder="1"/>
    <xf numFmtId="2" fontId="0" fillId="4" borderId="1" xfId="0" applyNumberFormat="1" applyFill="1" applyBorder="1"/>
    <xf numFmtId="0" fontId="0" fillId="4" borderId="1" xfId="0" applyFill="1" applyBorder="1"/>
    <xf numFmtId="3" fontId="0" fillId="4" borderId="1" xfId="0" applyNumberFormat="1" applyFill="1" applyBorder="1"/>
    <xf numFmtId="0" fontId="0" fillId="4" borderId="2" xfId="0" applyFill="1" applyBorder="1" applyAlignment="1">
      <alignment vertical="top" wrapText="1"/>
    </xf>
    <xf numFmtId="0" fontId="0" fillId="0" borderId="2" xfId="0" applyBorder="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3"/>
  <sheetViews>
    <sheetView topLeftCell="A45" workbookViewId="0">
      <selection activeCell="B38" sqref="B38"/>
    </sheetView>
  </sheetViews>
  <sheetFormatPr defaultRowHeight="15" x14ac:dyDescent="0.25"/>
  <cols>
    <col min="1" max="1" width="35" customWidth="1"/>
    <col min="2" max="3" width="15" customWidth="1"/>
  </cols>
  <sheetData>
    <row r="1" spans="1:3" ht="18.75" x14ac:dyDescent="0.3">
      <c r="A1" s="1" t="s">
        <v>0</v>
      </c>
    </row>
    <row r="2" spans="1:3" x14ac:dyDescent="0.25">
      <c r="A2" s="2" t="s">
        <v>1</v>
      </c>
    </row>
    <row r="4" spans="1:3" x14ac:dyDescent="0.25">
      <c r="A4" s="3" t="s">
        <v>2</v>
      </c>
      <c r="B4" s="3" t="s">
        <v>3</v>
      </c>
      <c r="C4" s="3" t="s">
        <v>4</v>
      </c>
    </row>
    <row r="5" spans="1:3" x14ac:dyDescent="0.25">
      <c r="A5" t="s">
        <v>5</v>
      </c>
      <c r="B5" s="4">
        <v>6270</v>
      </c>
      <c r="C5" s="4">
        <v>6374</v>
      </c>
    </row>
    <row r="6" spans="1:3" x14ac:dyDescent="0.25">
      <c r="A6" t="s">
        <v>6</v>
      </c>
      <c r="B6" s="4">
        <v>1848</v>
      </c>
      <c r="C6" s="4">
        <v>1809</v>
      </c>
    </row>
    <row r="7" spans="1:3" x14ac:dyDescent="0.25">
      <c r="A7" t="s">
        <v>7</v>
      </c>
      <c r="B7" s="4">
        <v>5632</v>
      </c>
      <c r="C7" s="4">
        <v>5937</v>
      </c>
    </row>
    <row r="8" spans="1:3" x14ac:dyDescent="0.25">
      <c r="A8" t="s">
        <v>8</v>
      </c>
      <c r="B8" s="4">
        <v>494</v>
      </c>
      <c r="C8" s="4">
        <v>552</v>
      </c>
    </row>
    <row r="9" spans="1:3" x14ac:dyDescent="0.25">
      <c r="A9" t="s">
        <v>9</v>
      </c>
      <c r="B9" s="4">
        <v>1178</v>
      </c>
      <c r="C9" s="4">
        <v>1405</v>
      </c>
    </row>
    <row r="10" spans="1:3" x14ac:dyDescent="0.25">
      <c r="A10" t="s">
        <v>10</v>
      </c>
      <c r="B10" s="4">
        <v>15422</v>
      </c>
      <c r="C10" s="4">
        <v>16077</v>
      </c>
    </row>
    <row r="12" spans="1:3" x14ac:dyDescent="0.25">
      <c r="A12" t="s">
        <v>11</v>
      </c>
      <c r="B12" s="4">
        <v>4460</v>
      </c>
      <c r="C12" s="4">
        <v>3470</v>
      </c>
    </row>
    <row r="13" spans="1:3" x14ac:dyDescent="0.25">
      <c r="A13" t="s">
        <v>12</v>
      </c>
      <c r="B13" s="4">
        <v>6173</v>
      </c>
      <c r="C13" s="4">
        <v>6909</v>
      </c>
    </row>
    <row r="14" spans="1:3" x14ac:dyDescent="0.25">
      <c r="A14" t="s">
        <v>13</v>
      </c>
      <c r="B14" s="4">
        <v>484</v>
      </c>
      <c r="C14" s="4">
        <v>654</v>
      </c>
    </row>
    <row r="15" spans="1:3" x14ac:dyDescent="0.25">
      <c r="A15" t="s">
        <v>14</v>
      </c>
      <c r="B15" s="4">
        <v>1216</v>
      </c>
      <c r="C15" s="4">
        <v>1418</v>
      </c>
    </row>
    <row r="16" spans="1:3" x14ac:dyDescent="0.25">
      <c r="A16" t="s">
        <v>15</v>
      </c>
      <c r="B16" s="4">
        <v>12333</v>
      </c>
      <c r="C16" s="4">
        <v>12451</v>
      </c>
    </row>
    <row r="17" spans="1:3" x14ac:dyDescent="0.25">
      <c r="A17" t="s">
        <v>16</v>
      </c>
      <c r="B17" s="4">
        <v>3089</v>
      </c>
      <c r="C17" s="4">
        <v>3626</v>
      </c>
    </row>
    <row r="19" spans="1:3" x14ac:dyDescent="0.25">
      <c r="A19" s="3" t="s">
        <v>17</v>
      </c>
      <c r="B19" s="3" t="s">
        <v>3</v>
      </c>
      <c r="C19" s="3" t="s">
        <v>4</v>
      </c>
    </row>
    <row r="20" spans="1:3" x14ac:dyDescent="0.25">
      <c r="A20" t="s">
        <v>18</v>
      </c>
      <c r="B20" s="4">
        <v>15932</v>
      </c>
      <c r="C20" s="4">
        <v>14455</v>
      </c>
    </row>
    <row r="21" spans="1:3" x14ac:dyDescent="0.25">
      <c r="A21" t="s">
        <v>19</v>
      </c>
      <c r="B21" s="4">
        <v>9429</v>
      </c>
      <c r="C21" s="4">
        <v>8489</v>
      </c>
    </row>
    <row r="22" spans="1:3" x14ac:dyDescent="0.25">
      <c r="A22" t="s">
        <v>20</v>
      </c>
      <c r="B22" s="4">
        <v>6503</v>
      </c>
      <c r="C22" s="4">
        <v>5966</v>
      </c>
    </row>
    <row r="23" spans="1:3" x14ac:dyDescent="0.25">
      <c r="A23" t="s">
        <v>21</v>
      </c>
      <c r="B23" s="4">
        <v>2579</v>
      </c>
      <c r="C23" s="4">
        <v>2356</v>
      </c>
    </row>
    <row r="24" spans="1:3" x14ac:dyDescent="0.25">
      <c r="A24" t="s">
        <v>22</v>
      </c>
      <c r="B24" s="4">
        <v>134</v>
      </c>
      <c r="C24" s="4">
        <v>133</v>
      </c>
    </row>
    <row r="25" spans="1:3" x14ac:dyDescent="0.25">
      <c r="A25" t="s">
        <v>23</v>
      </c>
      <c r="B25" s="4">
        <v>3790</v>
      </c>
      <c r="C25" s="4">
        <v>3477</v>
      </c>
    </row>
    <row r="26" spans="1:3" x14ac:dyDescent="0.25">
      <c r="A26" t="s">
        <v>24</v>
      </c>
      <c r="B26" s="4">
        <v>203</v>
      </c>
      <c r="C26" s="4">
        <v>202</v>
      </c>
    </row>
    <row r="27" spans="1:3" x14ac:dyDescent="0.25">
      <c r="A27" t="s">
        <v>25</v>
      </c>
      <c r="B27" s="4">
        <v>-255</v>
      </c>
      <c r="C27" s="4">
        <v>-51</v>
      </c>
    </row>
    <row r="28" spans="1:3" x14ac:dyDescent="0.25">
      <c r="A28" t="s">
        <v>26</v>
      </c>
      <c r="B28" s="4">
        <v>3842</v>
      </c>
      <c r="C28" s="4">
        <v>3326</v>
      </c>
    </row>
    <row r="29" spans="1:3" x14ac:dyDescent="0.25">
      <c r="A29" t="s">
        <v>27</v>
      </c>
      <c r="B29" s="4">
        <v>808</v>
      </c>
      <c r="C29" s="4">
        <v>632</v>
      </c>
    </row>
    <row r="30" spans="1:3" x14ac:dyDescent="0.25">
      <c r="A30" t="s">
        <v>28</v>
      </c>
      <c r="B30" s="4">
        <v>3034</v>
      </c>
      <c r="C30" s="4">
        <v>2694</v>
      </c>
    </row>
    <row r="32" spans="1:3" x14ac:dyDescent="0.25">
      <c r="A32" s="3" t="s">
        <v>29</v>
      </c>
      <c r="B32" s="3" t="s">
        <v>3</v>
      </c>
      <c r="C32" s="3" t="s">
        <v>4</v>
      </c>
    </row>
    <row r="33" spans="1:3" x14ac:dyDescent="0.25">
      <c r="A33" t="s">
        <v>30</v>
      </c>
      <c r="B33" s="5">
        <v>0.22</v>
      </c>
      <c r="C33" s="5">
        <v>0.22</v>
      </c>
    </row>
    <row r="34" spans="1:3" x14ac:dyDescent="0.25">
      <c r="A34" t="s">
        <v>31</v>
      </c>
      <c r="B34" s="4">
        <v>-52</v>
      </c>
      <c r="C34" s="4">
        <v>151</v>
      </c>
    </row>
    <row r="35" spans="1:3" x14ac:dyDescent="0.25">
      <c r="A35" t="s">
        <v>32</v>
      </c>
      <c r="B35" s="4">
        <v>-11</v>
      </c>
      <c r="C35" s="4">
        <v>33</v>
      </c>
    </row>
    <row r="36" spans="1:3" x14ac:dyDescent="0.25">
      <c r="A36" t="s">
        <v>33</v>
      </c>
      <c r="B36" s="4">
        <v>3358</v>
      </c>
      <c r="C36" s="4">
        <v>3404</v>
      </c>
    </row>
    <row r="37" spans="1:3" x14ac:dyDescent="0.25">
      <c r="A37" t="s">
        <v>34</v>
      </c>
      <c r="B37" s="4">
        <v>10543</v>
      </c>
      <c r="C37" s="4">
        <v>9826</v>
      </c>
    </row>
    <row r="38" spans="1:3" x14ac:dyDescent="0.25">
      <c r="A38" t="s">
        <v>35</v>
      </c>
      <c r="B38" t="s">
        <v>36</v>
      </c>
      <c r="C38" s="4">
        <v>15845</v>
      </c>
    </row>
    <row r="42" spans="1:3" ht="18.75" x14ac:dyDescent="0.3">
      <c r="A42" s="1" t="s">
        <v>37</v>
      </c>
    </row>
    <row r="43" spans="1:3" x14ac:dyDescent="0.25">
      <c r="A43" s="2" t="s">
        <v>38</v>
      </c>
    </row>
    <row r="45" spans="1:3" x14ac:dyDescent="0.25">
      <c r="A45" s="3" t="s">
        <v>2</v>
      </c>
      <c r="B45" s="3" t="s">
        <v>3</v>
      </c>
      <c r="C45" s="3" t="s">
        <v>4</v>
      </c>
    </row>
    <row r="46" spans="1:3" x14ac:dyDescent="0.25">
      <c r="A46" t="s">
        <v>5</v>
      </c>
      <c r="B46" s="4">
        <v>12046644</v>
      </c>
      <c r="C46" s="4">
        <v>5616750</v>
      </c>
    </row>
    <row r="47" spans="1:3" x14ac:dyDescent="0.25">
      <c r="A47" t="s">
        <v>39</v>
      </c>
      <c r="B47" s="4">
        <v>2122758</v>
      </c>
      <c r="C47" s="4">
        <v>2266476</v>
      </c>
    </row>
    <row r="48" spans="1:3" x14ac:dyDescent="0.25">
      <c r="A48" t="s">
        <v>40</v>
      </c>
      <c r="B48" s="4">
        <v>7740082</v>
      </c>
      <c r="C48" s="4">
        <v>8059687</v>
      </c>
    </row>
    <row r="49" spans="1:3" x14ac:dyDescent="0.25">
      <c r="A49" t="s">
        <v>41</v>
      </c>
      <c r="B49" s="4">
        <v>3135817</v>
      </c>
      <c r="C49" s="4">
        <v>3519797</v>
      </c>
    </row>
    <row r="50" spans="1:3" x14ac:dyDescent="0.25">
      <c r="A50" t="s">
        <v>9</v>
      </c>
      <c r="B50" s="4">
        <v>898642</v>
      </c>
      <c r="C50" s="4">
        <v>878490</v>
      </c>
    </row>
    <row r="51" spans="1:3" x14ac:dyDescent="0.25">
      <c r="A51" t="s">
        <v>10</v>
      </c>
      <c r="B51" s="4">
        <v>25943943</v>
      </c>
      <c r="C51" s="4">
        <v>20341200</v>
      </c>
    </row>
    <row r="53" spans="1:3" x14ac:dyDescent="0.25">
      <c r="A53" t="s">
        <v>11</v>
      </c>
      <c r="B53" s="4">
        <v>5859318</v>
      </c>
      <c r="C53" s="4">
        <v>3096503</v>
      </c>
    </row>
    <row r="54" spans="1:3" x14ac:dyDescent="0.25">
      <c r="A54" t="s">
        <v>42</v>
      </c>
      <c r="B54" s="4">
        <v>9755825</v>
      </c>
      <c r="C54" s="4">
        <v>6582053</v>
      </c>
    </row>
    <row r="55" spans="1:3" x14ac:dyDescent="0.25">
      <c r="A55" t="s">
        <v>43</v>
      </c>
      <c r="B55" s="4">
        <v>639939</v>
      </c>
      <c r="C55" s="4">
        <v>1055638</v>
      </c>
    </row>
    <row r="56" spans="1:3" x14ac:dyDescent="0.25">
      <c r="A56" t="s">
        <v>8</v>
      </c>
      <c r="B56" s="4">
        <v>307044</v>
      </c>
      <c r="C56" s="4">
        <v>553981</v>
      </c>
    </row>
    <row r="57" spans="1:3" x14ac:dyDescent="0.25">
      <c r="A57" t="s">
        <v>44</v>
      </c>
      <c r="B57" s="4">
        <v>521897</v>
      </c>
      <c r="C57" s="4">
        <v>639355</v>
      </c>
    </row>
    <row r="58" spans="1:3" x14ac:dyDescent="0.25">
      <c r="A58" t="s">
        <v>15</v>
      </c>
      <c r="B58" s="4">
        <v>17084023</v>
      </c>
      <c r="C58" s="4">
        <v>11927530</v>
      </c>
    </row>
    <row r="59" spans="1:3" x14ac:dyDescent="0.25">
      <c r="A59" t="s">
        <v>16</v>
      </c>
      <c r="B59" s="4">
        <v>8859920</v>
      </c>
      <c r="C59" s="4">
        <v>8413670</v>
      </c>
    </row>
    <row r="61" spans="1:3" x14ac:dyDescent="0.25">
      <c r="A61" s="3" t="s">
        <v>17</v>
      </c>
      <c r="B61" s="3" t="s">
        <v>3</v>
      </c>
      <c r="C61" s="3" t="s">
        <v>4</v>
      </c>
    </row>
    <row r="62" spans="1:3" x14ac:dyDescent="0.25">
      <c r="A62" t="s">
        <v>45</v>
      </c>
      <c r="B62" s="4">
        <v>15861608</v>
      </c>
      <c r="C62" s="4">
        <v>14347640</v>
      </c>
    </row>
    <row r="63" spans="1:3" x14ac:dyDescent="0.25">
      <c r="A63" t="s">
        <v>46</v>
      </c>
      <c r="B63" s="4">
        <v>11387267</v>
      </c>
      <c r="C63" s="4">
        <v>10449680</v>
      </c>
    </row>
    <row r="64" spans="1:3" x14ac:dyDescent="0.25">
      <c r="A64" t="s">
        <v>20</v>
      </c>
      <c r="B64" s="4">
        <v>4474341</v>
      </c>
      <c r="C64" s="4">
        <v>3897960</v>
      </c>
    </row>
    <row r="65" spans="1:3" x14ac:dyDescent="0.25">
      <c r="A65" t="s">
        <v>47</v>
      </c>
      <c r="B65" s="4">
        <v>1627116</v>
      </c>
      <c r="C65" s="4">
        <v>1527302</v>
      </c>
    </row>
    <row r="66" spans="1:3" x14ac:dyDescent="0.25">
      <c r="A66" t="s">
        <v>48</v>
      </c>
      <c r="B66" s="4">
        <v>-7121</v>
      </c>
      <c r="C66" s="4">
        <v>-109332</v>
      </c>
    </row>
    <row r="67" spans="1:3" x14ac:dyDescent="0.25">
      <c r="A67" t="s">
        <v>23</v>
      </c>
      <c r="B67" s="4">
        <v>2854346</v>
      </c>
      <c r="C67" s="4">
        <v>2479990</v>
      </c>
    </row>
    <row r="68" spans="1:3" x14ac:dyDescent="0.25">
      <c r="A68" t="s">
        <v>24</v>
      </c>
      <c r="B68" s="4">
        <v>255252</v>
      </c>
      <c r="C68" s="4">
        <v>250036</v>
      </c>
    </row>
    <row r="69" spans="1:3" x14ac:dyDescent="0.25">
      <c r="A69" t="s">
        <v>49</v>
      </c>
      <c r="B69" s="4">
        <v>1015426</v>
      </c>
      <c r="C69" s="4">
        <v>0</v>
      </c>
    </row>
    <row r="70" spans="1:3" x14ac:dyDescent="0.25">
      <c r="A70" t="s">
        <v>50</v>
      </c>
      <c r="B70" s="4">
        <v>-30558</v>
      </c>
      <c r="C70" s="4">
        <v>-17003</v>
      </c>
    </row>
    <row r="71" spans="1:3" x14ac:dyDescent="0.25">
      <c r="A71" t="s">
        <v>26</v>
      </c>
      <c r="B71" s="4">
        <v>1614226</v>
      </c>
      <c r="C71" s="4">
        <v>2246957</v>
      </c>
    </row>
    <row r="72" spans="1:3" x14ac:dyDescent="0.25">
      <c r="A72" t="s">
        <v>27</v>
      </c>
      <c r="B72" s="4">
        <v>298040</v>
      </c>
      <c r="C72" s="4">
        <v>500096</v>
      </c>
    </row>
    <row r="73" spans="1:3" x14ac:dyDescent="0.25">
      <c r="A73" t="s">
        <v>28</v>
      </c>
      <c r="B73" s="4">
        <v>1316186</v>
      </c>
      <c r="C73" s="4">
        <v>1746861</v>
      </c>
    </row>
    <row r="74" spans="1:3" x14ac:dyDescent="0.25">
      <c r="A74" t="s">
        <v>51</v>
      </c>
      <c r="B74" s="4">
        <v>581</v>
      </c>
      <c r="C74" s="4">
        <v>761</v>
      </c>
    </row>
    <row r="75" spans="1:3" x14ac:dyDescent="0.25">
      <c r="A75" t="s">
        <v>52</v>
      </c>
      <c r="B75" s="4">
        <v>1315605</v>
      </c>
      <c r="C75" s="4">
        <v>1746100</v>
      </c>
    </row>
    <row r="77" spans="1:3" x14ac:dyDescent="0.25">
      <c r="A77" s="3" t="s">
        <v>29</v>
      </c>
      <c r="B77" s="3" t="s">
        <v>3</v>
      </c>
      <c r="C77" s="3" t="s">
        <v>4</v>
      </c>
    </row>
    <row r="78" spans="1:3" x14ac:dyDescent="0.25">
      <c r="A78" t="s">
        <v>30</v>
      </c>
      <c r="B78" s="5">
        <v>0.22</v>
      </c>
      <c r="C78" s="5">
        <v>0.22</v>
      </c>
    </row>
    <row r="79" spans="1:3" x14ac:dyDescent="0.25">
      <c r="A79" t="s">
        <v>31</v>
      </c>
      <c r="B79" s="4">
        <v>1240120</v>
      </c>
      <c r="C79" s="4">
        <v>233033</v>
      </c>
    </row>
    <row r="80" spans="1:3" x14ac:dyDescent="0.25">
      <c r="A80" t="s">
        <v>32</v>
      </c>
      <c r="B80" s="4">
        <v>272826</v>
      </c>
      <c r="C80" s="4">
        <v>51267</v>
      </c>
    </row>
    <row r="81" spans="1:3" x14ac:dyDescent="0.25">
      <c r="A81" t="s">
        <v>33</v>
      </c>
      <c r="B81" s="4">
        <v>8636795</v>
      </c>
      <c r="C81" s="4">
        <v>7327720</v>
      </c>
    </row>
    <row r="82" spans="1:3" x14ac:dyDescent="0.25">
      <c r="A82" t="s">
        <v>34</v>
      </c>
      <c r="B82" s="4">
        <v>15920399</v>
      </c>
      <c r="C82" s="4">
        <v>13168717</v>
      </c>
    </row>
    <row r="83" spans="1:3" x14ac:dyDescent="0.25">
      <c r="A83" t="s">
        <v>35</v>
      </c>
      <c r="B83" t="s">
        <v>36</v>
      </c>
      <c r="C83" s="4">
        <v>20114477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9"/>
  <sheetViews>
    <sheetView tabSelected="1" workbookViewId="0">
      <selection activeCell="E18" sqref="E18"/>
    </sheetView>
  </sheetViews>
  <sheetFormatPr defaultRowHeight="15" x14ac:dyDescent="0.25"/>
  <cols>
    <col min="1" max="1" width="35" customWidth="1"/>
    <col min="2" max="3" width="15" customWidth="1"/>
    <col min="4" max="4" width="18" customWidth="1"/>
  </cols>
  <sheetData>
    <row r="1" spans="1:5" ht="18.75" x14ac:dyDescent="0.3">
      <c r="A1" s="1" t="s">
        <v>53</v>
      </c>
    </row>
    <row r="3" spans="1:5" x14ac:dyDescent="0.25">
      <c r="A3" s="6" t="s">
        <v>54</v>
      </c>
      <c r="B3" s="7"/>
      <c r="C3" s="7"/>
      <c r="D3" s="7"/>
    </row>
    <row r="4" spans="1:5" x14ac:dyDescent="0.25">
      <c r="A4" t="s">
        <v>55</v>
      </c>
      <c r="B4" s="8"/>
    </row>
    <row r="6" spans="1:5" x14ac:dyDescent="0.25">
      <c r="A6" s="6" t="s">
        <v>56</v>
      </c>
      <c r="B6" s="7"/>
      <c r="C6" s="7"/>
      <c r="D6" s="7"/>
    </row>
    <row r="7" spans="1:5" x14ac:dyDescent="0.25">
      <c r="B7" s="9" t="s">
        <v>3</v>
      </c>
      <c r="C7" s="9" t="s">
        <v>4</v>
      </c>
    </row>
    <row r="8" spans="1:5" x14ac:dyDescent="0.25">
      <c r="A8" t="s">
        <v>57</v>
      </c>
      <c r="B8" s="10"/>
      <c r="C8" s="10"/>
    </row>
    <row r="9" spans="1:5" x14ac:dyDescent="0.25">
      <c r="A9" t="s">
        <v>58</v>
      </c>
      <c r="B9" s="10"/>
      <c r="C9" s="10"/>
    </row>
    <row r="10" spans="1:5" x14ac:dyDescent="0.25">
      <c r="A10" t="s">
        <v>59</v>
      </c>
      <c r="B10" s="11"/>
      <c r="C10" s="11"/>
    </row>
    <row r="11" spans="1:5" x14ac:dyDescent="0.25">
      <c r="A11" t="s">
        <v>60</v>
      </c>
      <c r="B11" s="11"/>
      <c r="C11" s="11"/>
    </row>
    <row r="12" spans="1:5" x14ac:dyDescent="0.25">
      <c r="A12" t="s">
        <v>61</v>
      </c>
      <c r="B12" s="10"/>
      <c r="C12" s="10"/>
    </row>
    <row r="13" spans="1:5" x14ac:dyDescent="0.25">
      <c r="A13" t="s">
        <v>62</v>
      </c>
      <c r="B13" s="11"/>
      <c r="C13" s="11"/>
    </row>
    <row r="16" spans="1:5" x14ac:dyDescent="0.25">
      <c r="A16" s="6" t="s">
        <v>63</v>
      </c>
      <c r="B16" s="7"/>
      <c r="C16" s="7"/>
      <c r="D16" s="7"/>
      <c r="E16" s="7"/>
    </row>
    <row r="17" spans="1:5" x14ac:dyDescent="0.25">
      <c r="A17" s="3" t="s">
        <v>64</v>
      </c>
      <c r="B17" s="3" t="s">
        <v>3</v>
      </c>
      <c r="C17" s="3" t="s">
        <v>4</v>
      </c>
      <c r="D17" s="3" t="s">
        <v>65</v>
      </c>
      <c r="E17" s="3" t="s">
        <v>66</v>
      </c>
    </row>
    <row r="18" spans="1:5" x14ac:dyDescent="0.25">
      <c r="A18" t="s">
        <v>67</v>
      </c>
      <c r="B18" s="4">
        <v>708</v>
      </c>
      <c r="C18" s="4">
        <v>1527</v>
      </c>
      <c r="D18" s="12"/>
    </row>
    <row r="19" spans="1:5" x14ac:dyDescent="0.25">
      <c r="A19" t="s">
        <v>68</v>
      </c>
      <c r="B19" s="4">
        <v>3171</v>
      </c>
      <c r="C19" s="4">
        <v>2840</v>
      </c>
      <c r="D19" s="12"/>
    </row>
    <row r="20" spans="1:5" x14ac:dyDescent="0.25">
      <c r="A20" t="s">
        <v>69</v>
      </c>
      <c r="B20" s="4">
        <v>2054</v>
      </c>
      <c r="C20" s="4">
        <v>1694</v>
      </c>
      <c r="D20" s="12"/>
    </row>
    <row r="21" spans="1:5" x14ac:dyDescent="0.25">
      <c r="A21" t="s">
        <v>70</v>
      </c>
      <c r="B21" s="4">
        <v>329</v>
      </c>
      <c r="C21" s="4">
        <v>313</v>
      </c>
      <c r="D21" s="12"/>
    </row>
    <row r="22" spans="1:5" x14ac:dyDescent="0.25">
      <c r="A22" t="s">
        <v>71</v>
      </c>
      <c r="B22" s="4">
        <v>8</v>
      </c>
      <c r="C22" s="4">
        <v>0</v>
      </c>
      <c r="D22" s="12"/>
    </row>
    <row r="23" spans="1:5" x14ac:dyDescent="0.25">
      <c r="A23" t="s">
        <v>72</v>
      </c>
      <c r="B23" s="4">
        <v>1848</v>
      </c>
      <c r="C23" s="4">
        <v>1809</v>
      </c>
      <c r="D23" s="12"/>
    </row>
    <row r="24" spans="1:5" x14ac:dyDescent="0.25">
      <c r="A24" t="s">
        <v>40</v>
      </c>
      <c r="B24" s="4">
        <v>4864</v>
      </c>
      <c r="C24" s="4">
        <v>4965</v>
      </c>
      <c r="D24" s="12"/>
    </row>
    <row r="25" spans="1:5" x14ac:dyDescent="0.25">
      <c r="A25" t="s">
        <v>73</v>
      </c>
      <c r="B25" s="4">
        <v>768</v>
      </c>
      <c r="C25" s="4">
        <v>972</v>
      </c>
      <c r="D25" s="12"/>
    </row>
    <row r="26" spans="1:5" x14ac:dyDescent="0.25">
      <c r="A26" t="s">
        <v>74</v>
      </c>
      <c r="B26" s="4">
        <v>494</v>
      </c>
      <c r="C26" s="4">
        <v>552</v>
      </c>
      <c r="D26" s="12"/>
    </row>
    <row r="27" spans="1:5" x14ac:dyDescent="0.25">
      <c r="A27" t="s">
        <v>75</v>
      </c>
      <c r="B27" s="4">
        <v>1178</v>
      </c>
      <c r="C27" s="4">
        <v>1405</v>
      </c>
      <c r="D27" s="12"/>
    </row>
    <row r="28" spans="1:5" x14ac:dyDescent="0.25">
      <c r="A28" t="s">
        <v>76</v>
      </c>
      <c r="B28" s="4">
        <v>1590</v>
      </c>
      <c r="C28" s="4">
        <v>778</v>
      </c>
      <c r="D28" s="12"/>
    </row>
    <row r="29" spans="1:5" x14ac:dyDescent="0.25">
      <c r="A29" t="s">
        <v>77</v>
      </c>
      <c r="B29" s="4">
        <v>594</v>
      </c>
      <c r="C29" s="4">
        <v>585</v>
      </c>
      <c r="D29" s="12"/>
    </row>
    <row r="30" spans="1:5" x14ac:dyDescent="0.25">
      <c r="A30" t="s">
        <v>78</v>
      </c>
      <c r="B30" s="4">
        <v>55</v>
      </c>
      <c r="C30" s="4">
        <v>61</v>
      </c>
      <c r="D30" s="12"/>
    </row>
    <row r="31" spans="1:5" x14ac:dyDescent="0.25">
      <c r="A31" t="s">
        <v>79</v>
      </c>
      <c r="B31" s="4">
        <v>1673</v>
      </c>
      <c r="C31" s="4">
        <v>1587</v>
      </c>
      <c r="D31" s="12"/>
    </row>
    <row r="32" spans="1:5" x14ac:dyDescent="0.25">
      <c r="A32" t="s">
        <v>80</v>
      </c>
      <c r="B32" s="4">
        <v>400</v>
      </c>
      <c r="C32" s="4">
        <v>382</v>
      </c>
      <c r="D32" s="12"/>
    </row>
    <row r="33" spans="1:4" x14ac:dyDescent="0.25">
      <c r="A33" t="s">
        <v>81</v>
      </c>
      <c r="B33" s="4">
        <v>147</v>
      </c>
      <c r="C33" s="4">
        <v>77</v>
      </c>
      <c r="D33" s="12"/>
    </row>
    <row r="34" spans="1:4" x14ac:dyDescent="0.25">
      <c r="A34" t="s">
        <v>82</v>
      </c>
      <c r="B34" s="4">
        <v>1</v>
      </c>
      <c r="C34" s="4">
        <v>0</v>
      </c>
      <c r="D34" s="12"/>
    </row>
    <row r="35" spans="1:4" x14ac:dyDescent="0.25">
      <c r="A35" t="s">
        <v>83</v>
      </c>
      <c r="B35" s="4">
        <v>6173</v>
      </c>
      <c r="C35" s="4">
        <v>6909</v>
      </c>
      <c r="D35" s="12"/>
    </row>
    <row r="36" spans="1:4" x14ac:dyDescent="0.25">
      <c r="A36" t="s">
        <v>84</v>
      </c>
      <c r="B36" s="4">
        <v>484</v>
      </c>
      <c r="C36" s="4">
        <v>654</v>
      </c>
      <c r="D36" s="12"/>
    </row>
    <row r="37" spans="1:4" x14ac:dyDescent="0.25">
      <c r="A37" t="s">
        <v>85</v>
      </c>
      <c r="B37" s="4">
        <v>273</v>
      </c>
      <c r="C37" s="4">
        <v>365</v>
      </c>
      <c r="D37" s="12"/>
    </row>
    <row r="38" spans="1:4" x14ac:dyDescent="0.25">
      <c r="A38" t="s">
        <v>86</v>
      </c>
      <c r="B38" s="4">
        <v>131</v>
      </c>
      <c r="C38" s="4">
        <v>133</v>
      </c>
      <c r="D38" s="12"/>
    </row>
    <row r="39" spans="1:4" x14ac:dyDescent="0.25">
      <c r="A39" t="s">
        <v>87</v>
      </c>
      <c r="B39" s="4">
        <v>812</v>
      </c>
      <c r="C39" s="4">
        <v>920</v>
      </c>
      <c r="D39" s="12"/>
    </row>
    <row r="41" spans="1:4" x14ac:dyDescent="0.25">
      <c r="A41" s="13" t="s">
        <v>88</v>
      </c>
      <c r="B41" s="14"/>
    </row>
    <row r="43" spans="1:4" x14ac:dyDescent="0.25">
      <c r="A43" s="6" t="s">
        <v>89</v>
      </c>
      <c r="B43" s="7"/>
      <c r="C43" s="7"/>
      <c r="D43" s="7"/>
    </row>
    <row r="44" spans="1:4" x14ac:dyDescent="0.25">
      <c r="A44" t="s">
        <v>90</v>
      </c>
      <c r="B44" s="14"/>
    </row>
    <row r="46" spans="1:4" x14ac:dyDescent="0.25">
      <c r="B46" s="9" t="s">
        <v>3</v>
      </c>
      <c r="C46" s="9" t="s">
        <v>4</v>
      </c>
    </row>
    <row r="47" spans="1:4" x14ac:dyDescent="0.25">
      <c r="A47" t="s">
        <v>91</v>
      </c>
      <c r="B47" s="10"/>
      <c r="C47" s="10"/>
    </row>
    <row r="48" spans="1:4" x14ac:dyDescent="0.25">
      <c r="A48" t="s">
        <v>92</v>
      </c>
      <c r="B48" s="10"/>
      <c r="C48" s="10"/>
    </row>
    <row r="49" spans="1:5" x14ac:dyDescent="0.25">
      <c r="A49" t="s">
        <v>93</v>
      </c>
      <c r="B49" s="11"/>
      <c r="C49" s="11"/>
    </row>
    <row r="52" spans="1:5" x14ac:dyDescent="0.25">
      <c r="A52" s="6" t="s">
        <v>94</v>
      </c>
      <c r="B52" s="7"/>
      <c r="C52" s="7"/>
      <c r="D52" s="7"/>
      <c r="E52" s="7"/>
    </row>
    <row r="53" spans="1:5" x14ac:dyDescent="0.25">
      <c r="A53" s="13" t="s">
        <v>95</v>
      </c>
    </row>
    <row r="54" spans="1:5" x14ac:dyDescent="0.25">
      <c r="A54" s="22"/>
      <c r="B54" s="23"/>
      <c r="C54" s="23"/>
      <c r="D54" s="23"/>
      <c r="E54" s="23"/>
    </row>
    <row r="55" spans="1:5" x14ac:dyDescent="0.25">
      <c r="A55" s="23"/>
      <c r="B55" s="23"/>
      <c r="C55" s="23"/>
      <c r="D55" s="23"/>
      <c r="E55" s="23"/>
    </row>
    <row r="56" spans="1:5" x14ac:dyDescent="0.25">
      <c r="A56" s="23"/>
      <c r="B56" s="23"/>
      <c r="C56" s="23"/>
      <c r="D56" s="23"/>
      <c r="E56" s="23"/>
    </row>
    <row r="57" spans="1:5" x14ac:dyDescent="0.25">
      <c r="A57" s="23"/>
      <c r="B57" s="23"/>
      <c r="C57" s="23"/>
      <c r="D57" s="23"/>
      <c r="E57" s="23"/>
    </row>
    <row r="59" spans="1:5" x14ac:dyDescent="0.25">
      <c r="A59" s="13" t="s">
        <v>96</v>
      </c>
    </row>
    <row r="60" spans="1:5" x14ac:dyDescent="0.25">
      <c r="A60" s="22"/>
      <c r="B60" s="23"/>
      <c r="C60" s="23"/>
      <c r="D60" s="23"/>
      <c r="E60" s="23"/>
    </row>
    <row r="61" spans="1:5" x14ac:dyDescent="0.25">
      <c r="A61" s="23"/>
      <c r="B61" s="23"/>
      <c r="C61" s="23"/>
      <c r="D61" s="23"/>
      <c r="E61" s="23"/>
    </row>
    <row r="62" spans="1:5" x14ac:dyDescent="0.25">
      <c r="A62" s="23"/>
      <c r="B62" s="23"/>
      <c r="C62" s="23"/>
      <c r="D62" s="23"/>
      <c r="E62" s="23"/>
    </row>
    <row r="63" spans="1:5" x14ac:dyDescent="0.25">
      <c r="A63" s="23"/>
      <c r="B63" s="23"/>
      <c r="C63" s="23"/>
      <c r="D63" s="23"/>
      <c r="E63" s="23"/>
    </row>
    <row r="65" spans="1:5" x14ac:dyDescent="0.25">
      <c r="A65" s="13" t="s">
        <v>97</v>
      </c>
    </row>
    <row r="66" spans="1:5" x14ac:dyDescent="0.25">
      <c r="A66" s="22"/>
      <c r="B66" s="23"/>
      <c r="C66" s="23"/>
      <c r="D66" s="23"/>
      <c r="E66" s="23"/>
    </row>
    <row r="67" spans="1:5" x14ac:dyDescent="0.25">
      <c r="A67" s="23"/>
      <c r="B67" s="23"/>
      <c r="C67" s="23"/>
      <c r="D67" s="23"/>
      <c r="E67" s="23"/>
    </row>
    <row r="68" spans="1:5" x14ac:dyDescent="0.25">
      <c r="A68" s="23"/>
      <c r="B68" s="23"/>
      <c r="C68" s="23"/>
      <c r="D68" s="23"/>
      <c r="E68" s="23"/>
    </row>
    <row r="69" spans="1:5" x14ac:dyDescent="0.25">
      <c r="A69" s="23"/>
      <c r="B69" s="23"/>
      <c r="C69" s="23"/>
      <c r="D69" s="23"/>
      <c r="E69" s="23"/>
    </row>
  </sheetData>
  <mergeCells count="3">
    <mergeCell ref="A54:E57"/>
    <mergeCell ref="A66:E69"/>
    <mergeCell ref="A60:E63"/>
  </mergeCells>
  <dataValidations count="1">
    <dataValidation type="list" allowBlank="1" sqref="D18 D19 D20 D21 D22 D23 D24 D25 D26 D27 D28 D29 D30 D31 D32 D33 D34 D35 D36 D37 D38 D39" xr:uid="{00000000-0002-0000-0100-000000000000}">
      <formula1>"Operating,Non-Operating"</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9"/>
  <sheetViews>
    <sheetView workbookViewId="0">
      <selection activeCell="D23" sqref="D23"/>
    </sheetView>
  </sheetViews>
  <sheetFormatPr defaultRowHeight="15" x14ac:dyDescent="0.25"/>
  <cols>
    <col min="1" max="1" width="35" customWidth="1"/>
    <col min="2" max="3" width="15" customWidth="1"/>
    <col min="4" max="4" width="18" customWidth="1"/>
  </cols>
  <sheetData>
    <row r="1" spans="1:5" ht="18.75" x14ac:dyDescent="0.3">
      <c r="A1" s="1" t="s">
        <v>98</v>
      </c>
    </row>
    <row r="3" spans="1:5" x14ac:dyDescent="0.25">
      <c r="A3" s="6" t="s">
        <v>54</v>
      </c>
      <c r="B3" s="7"/>
      <c r="C3" s="7"/>
      <c r="D3" s="7"/>
    </row>
    <row r="4" spans="1:5" x14ac:dyDescent="0.25">
      <c r="A4" t="s">
        <v>55</v>
      </c>
      <c r="B4" s="8"/>
    </row>
    <row r="6" spans="1:5" x14ac:dyDescent="0.25">
      <c r="A6" s="6" t="s">
        <v>56</v>
      </c>
      <c r="B6" s="7"/>
      <c r="C6" s="7"/>
      <c r="D6" s="7"/>
    </row>
    <row r="7" spans="1:5" x14ac:dyDescent="0.25">
      <c r="B7" s="9" t="s">
        <v>3</v>
      </c>
      <c r="C7" s="9" t="s">
        <v>4</v>
      </c>
    </row>
    <row r="8" spans="1:5" x14ac:dyDescent="0.25">
      <c r="A8" t="s">
        <v>57</v>
      </c>
      <c r="B8" s="10"/>
      <c r="C8" s="10"/>
    </row>
    <row r="9" spans="1:5" x14ac:dyDescent="0.25">
      <c r="A9" t="s">
        <v>58</v>
      </c>
      <c r="B9" s="10"/>
      <c r="C9" s="10"/>
    </row>
    <row r="10" spans="1:5" x14ac:dyDescent="0.25">
      <c r="A10" t="s">
        <v>59</v>
      </c>
      <c r="B10" s="11"/>
      <c r="C10" s="11"/>
    </row>
    <row r="11" spans="1:5" x14ac:dyDescent="0.25">
      <c r="A11" t="s">
        <v>60</v>
      </c>
      <c r="B11" s="11"/>
      <c r="C11" s="11"/>
    </row>
    <row r="12" spans="1:5" x14ac:dyDescent="0.25">
      <c r="A12" t="s">
        <v>61</v>
      </c>
      <c r="B12" s="10"/>
      <c r="C12" s="10"/>
    </row>
    <row r="13" spans="1:5" x14ac:dyDescent="0.25">
      <c r="A13" t="s">
        <v>62</v>
      </c>
      <c r="B13" s="11"/>
      <c r="C13" s="11"/>
    </row>
    <row r="16" spans="1:5" x14ac:dyDescent="0.25">
      <c r="A16" s="6" t="s">
        <v>63</v>
      </c>
      <c r="B16" s="7"/>
      <c r="C16" s="7"/>
      <c r="D16" s="7"/>
      <c r="E16" s="7"/>
    </row>
    <row r="17" spans="1:5" x14ac:dyDescent="0.25">
      <c r="A17" s="3" t="s">
        <v>64</v>
      </c>
      <c r="B17" s="3" t="s">
        <v>3</v>
      </c>
      <c r="C17" s="3" t="s">
        <v>4</v>
      </c>
      <c r="D17" s="3" t="s">
        <v>65</v>
      </c>
      <c r="E17" s="3" t="s">
        <v>66</v>
      </c>
    </row>
    <row r="18" spans="1:5" x14ac:dyDescent="0.25">
      <c r="A18" t="s">
        <v>67</v>
      </c>
      <c r="B18" s="4">
        <v>535799</v>
      </c>
      <c r="C18" s="4">
        <v>733117</v>
      </c>
      <c r="D18" s="12"/>
    </row>
    <row r="19" spans="1:5" x14ac:dyDescent="0.25">
      <c r="A19" t="s">
        <v>99</v>
      </c>
      <c r="B19" s="4">
        <v>27862</v>
      </c>
      <c r="C19" s="4">
        <v>39116</v>
      </c>
      <c r="D19" s="12"/>
    </row>
    <row r="20" spans="1:5" x14ac:dyDescent="0.25">
      <c r="A20" t="s">
        <v>68</v>
      </c>
      <c r="B20" s="4">
        <v>2341504</v>
      </c>
      <c r="C20" s="4">
        <v>2183594</v>
      </c>
      <c r="D20" s="12"/>
    </row>
    <row r="21" spans="1:5" x14ac:dyDescent="0.25">
      <c r="A21" t="s">
        <v>100</v>
      </c>
      <c r="B21" s="4">
        <v>543757</v>
      </c>
      <c r="C21" s="4">
        <v>326315</v>
      </c>
      <c r="D21" s="12"/>
    </row>
    <row r="22" spans="1:5" x14ac:dyDescent="0.25">
      <c r="A22" t="s">
        <v>69</v>
      </c>
      <c r="B22" s="4">
        <v>2214553</v>
      </c>
      <c r="C22" s="4">
        <v>2090642</v>
      </c>
      <c r="D22" s="12"/>
    </row>
    <row r="23" spans="1:5" x14ac:dyDescent="0.25">
      <c r="A23" t="s">
        <v>70</v>
      </c>
      <c r="B23" s="4">
        <v>6383169</v>
      </c>
      <c r="C23" s="4">
        <v>243966</v>
      </c>
      <c r="D23" s="12"/>
    </row>
    <row r="24" spans="1:5" x14ac:dyDescent="0.25">
      <c r="A24" t="s">
        <v>39</v>
      </c>
      <c r="B24" s="4">
        <v>2122758</v>
      </c>
      <c r="C24" s="4">
        <v>2266476</v>
      </c>
      <c r="D24" s="12"/>
    </row>
    <row r="25" spans="1:5" x14ac:dyDescent="0.25">
      <c r="A25" t="s">
        <v>101</v>
      </c>
      <c r="B25" s="4">
        <v>110585</v>
      </c>
      <c r="C25" s="4">
        <v>104251</v>
      </c>
      <c r="D25" s="12"/>
    </row>
    <row r="26" spans="1:5" x14ac:dyDescent="0.25">
      <c r="A26" t="s">
        <v>102</v>
      </c>
      <c r="B26" s="4">
        <v>788057</v>
      </c>
      <c r="C26" s="4">
        <v>774239</v>
      </c>
      <c r="D26" s="12"/>
    </row>
    <row r="27" spans="1:5" x14ac:dyDescent="0.25">
      <c r="A27" t="s">
        <v>103</v>
      </c>
      <c r="B27" s="4">
        <v>3135817</v>
      </c>
      <c r="C27" s="4">
        <v>3519797</v>
      </c>
      <c r="D27" s="12"/>
    </row>
    <row r="28" spans="1:5" x14ac:dyDescent="0.25">
      <c r="A28" t="s">
        <v>40</v>
      </c>
      <c r="B28" s="4">
        <v>7740082</v>
      </c>
      <c r="C28" s="4">
        <v>8059687</v>
      </c>
      <c r="D28" s="12"/>
    </row>
    <row r="29" spans="1:5" x14ac:dyDescent="0.25">
      <c r="A29" t="s">
        <v>104</v>
      </c>
      <c r="B29" s="4">
        <v>1724310</v>
      </c>
      <c r="C29" s="4">
        <v>2824</v>
      </c>
      <c r="D29" s="12"/>
    </row>
    <row r="30" spans="1:5" x14ac:dyDescent="0.25">
      <c r="A30" t="s">
        <v>77</v>
      </c>
      <c r="B30" s="4">
        <v>1731925</v>
      </c>
      <c r="C30" s="4">
        <v>1667878</v>
      </c>
      <c r="D30" s="12"/>
    </row>
    <row r="31" spans="1:5" x14ac:dyDescent="0.25">
      <c r="A31" t="s">
        <v>105</v>
      </c>
      <c r="B31" s="4">
        <v>470132</v>
      </c>
      <c r="C31" s="4">
        <v>507027</v>
      </c>
      <c r="D31" s="12"/>
    </row>
    <row r="32" spans="1:5" x14ac:dyDescent="0.25">
      <c r="A32" t="s">
        <v>106</v>
      </c>
      <c r="B32" s="4">
        <v>250292</v>
      </c>
      <c r="C32" s="4">
        <v>236384</v>
      </c>
      <c r="D32" s="12"/>
    </row>
    <row r="33" spans="1:4" x14ac:dyDescent="0.25">
      <c r="A33" t="s">
        <v>78</v>
      </c>
      <c r="B33" s="4">
        <v>36023</v>
      </c>
      <c r="C33" s="4">
        <v>40193</v>
      </c>
      <c r="D33" s="12"/>
    </row>
    <row r="34" spans="1:4" x14ac:dyDescent="0.25">
      <c r="A34" t="s">
        <v>107</v>
      </c>
      <c r="B34" s="4">
        <v>1646636</v>
      </c>
      <c r="C34" s="4">
        <v>642197</v>
      </c>
      <c r="D34" s="12"/>
    </row>
    <row r="35" spans="1:4" x14ac:dyDescent="0.25">
      <c r="A35" t="s">
        <v>83</v>
      </c>
      <c r="B35" s="4">
        <v>9755825</v>
      </c>
      <c r="C35" s="4">
        <v>6582053</v>
      </c>
      <c r="D35" s="12"/>
    </row>
    <row r="36" spans="1:4" x14ac:dyDescent="0.25">
      <c r="A36" t="s">
        <v>43</v>
      </c>
      <c r="B36" s="4">
        <v>639939</v>
      </c>
      <c r="C36" s="4">
        <v>1055638</v>
      </c>
      <c r="D36" s="12"/>
    </row>
    <row r="37" spans="1:4" x14ac:dyDescent="0.25">
      <c r="A37" t="s">
        <v>108</v>
      </c>
      <c r="B37" s="4">
        <v>307044</v>
      </c>
      <c r="C37" s="4">
        <v>553981</v>
      </c>
      <c r="D37" s="12"/>
    </row>
    <row r="38" spans="1:4" x14ac:dyDescent="0.25">
      <c r="A38" t="s">
        <v>86</v>
      </c>
      <c r="B38" s="4">
        <v>100337</v>
      </c>
      <c r="C38" s="4">
        <v>93904</v>
      </c>
      <c r="D38" s="12"/>
    </row>
    <row r="39" spans="1:4" x14ac:dyDescent="0.25">
      <c r="A39" t="s">
        <v>87</v>
      </c>
      <c r="B39" s="4">
        <v>421560</v>
      </c>
      <c r="C39" s="4">
        <v>545451</v>
      </c>
      <c r="D39" s="12"/>
    </row>
    <row r="41" spans="1:4" x14ac:dyDescent="0.25">
      <c r="A41" s="13" t="s">
        <v>88</v>
      </c>
      <c r="B41" s="14"/>
    </row>
    <row r="43" spans="1:4" x14ac:dyDescent="0.25">
      <c r="A43" s="6" t="s">
        <v>89</v>
      </c>
      <c r="B43" s="7"/>
      <c r="C43" s="7"/>
      <c r="D43" s="7"/>
    </row>
    <row r="44" spans="1:4" x14ac:dyDescent="0.25">
      <c r="A44" t="s">
        <v>90</v>
      </c>
      <c r="B44" s="14"/>
    </row>
    <row r="46" spans="1:4" x14ac:dyDescent="0.25">
      <c r="B46" s="9" t="s">
        <v>3</v>
      </c>
      <c r="C46" s="9" t="s">
        <v>4</v>
      </c>
    </row>
    <row r="47" spans="1:4" x14ac:dyDescent="0.25">
      <c r="A47" t="s">
        <v>91</v>
      </c>
      <c r="B47" s="10"/>
      <c r="C47" s="10"/>
    </row>
    <row r="48" spans="1:4" x14ac:dyDescent="0.25">
      <c r="A48" t="s">
        <v>92</v>
      </c>
      <c r="B48" s="10"/>
      <c r="C48" s="10"/>
    </row>
    <row r="49" spans="1:5" x14ac:dyDescent="0.25">
      <c r="A49" t="s">
        <v>93</v>
      </c>
      <c r="B49" s="11"/>
      <c r="C49" s="11"/>
    </row>
    <row r="52" spans="1:5" x14ac:dyDescent="0.25">
      <c r="A52" s="6" t="s">
        <v>94</v>
      </c>
      <c r="B52" s="7"/>
      <c r="C52" s="7"/>
      <c r="D52" s="7"/>
      <c r="E52" s="7"/>
    </row>
    <row r="53" spans="1:5" x14ac:dyDescent="0.25">
      <c r="A53" s="13" t="s">
        <v>95</v>
      </c>
    </row>
    <row r="54" spans="1:5" x14ac:dyDescent="0.25">
      <c r="A54" s="22"/>
      <c r="B54" s="23"/>
      <c r="C54" s="23"/>
      <c r="D54" s="23"/>
      <c r="E54" s="23"/>
    </row>
    <row r="55" spans="1:5" x14ac:dyDescent="0.25">
      <c r="A55" s="23"/>
      <c r="B55" s="23"/>
      <c r="C55" s="23"/>
      <c r="D55" s="23"/>
      <c r="E55" s="23"/>
    </row>
    <row r="56" spans="1:5" x14ac:dyDescent="0.25">
      <c r="A56" s="23"/>
      <c r="B56" s="23"/>
      <c r="C56" s="23"/>
      <c r="D56" s="23"/>
      <c r="E56" s="23"/>
    </row>
    <row r="57" spans="1:5" x14ac:dyDescent="0.25">
      <c r="A57" s="23"/>
      <c r="B57" s="23"/>
      <c r="C57" s="23"/>
      <c r="D57" s="23"/>
      <c r="E57" s="23"/>
    </row>
    <row r="59" spans="1:5" x14ac:dyDescent="0.25">
      <c r="A59" s="13" t="s">
        <v>96</v>
      </c>
    </row>
    <row r="60" spans="1:5" x14ac:dyDescent="0.25">
      <c r="A60" s="22"/>
      <c r="B60" s="23"/>
      <c r="C60" s="23"/>
      <c r="D60" s="23"/>
      <c r="E60" s="23"/>
    </row>
    <row r="61" spans="1:5" x14ac:dyDescent="0.25">
      <c r="A61" s="23"/>
      <c r="B61" s="23"/>
      <c r="C61" s="23"/>
      <c r="D61" s="23"/>
      <c r="E61" s="23"/>
    </row>
    <row r="62" spans="1:5" x14ac:dyDescent="0.25">
      <c r="A62" s="23"/>
      <c r="B62" s="23"/>
      <c r="C62" s="23"/>
      <c r="D62" s="23"/>
      <c r="E62" s="23"/>
    </row>
    <row r="63" spans="1:5" x14ac:dyDescent="0.25">
      <c r="A63" s="23"/>
      <c r="B63" s="23"/>
      <c r="C63" s="23"/>
      <c r="D63" s="23"/>
      <c r="E63" s="23"/>
    </row>
    <row r="65" spans="1:5" x14ac:dyDescent="0.25">
      <c r="A65" s="13" t="s">
        <v>97</v>
      </c>
    </row>
    <row r="66" spans="1:5" x14ac:dyDescent="0.25">
      <c r="A66" s="22"/>
      <c r="B66" s="23"/>
      <c r="C66" s="23"/>
      <c r="D66" s="23"/>
      <c r="E66" s="23"/>
    </row>
    <row r="67" spans="1:5" x14ac:dyDescent="0.25">
      <c r="A67" s="23"/>
      <c r="B67" s="23"/>
      <c r="C67" s="23"/>
      <c r="D67" s="23"/>
      <c r="E67" s="23"/>
    </row>
    <row r="68" spans="1:5" x14ac:dyDescent="0.25">
      <c r="A68" s="23"/>
      <c r="B68" s="23"/>
      <c r="C68" s="23"/>
      <c r="D68" s="23"/>
      <c r="E68" s="23"/>
    </row>
    <row r="69" spans="1:5" x14ac:dyDescent="0.25">
      <c r="A69" s="23"/>
      <c r="B69" s="23"/>
      <c r="C69" s="23"/>
      <c r="D69" s="23"/>
      <c r="E69" s="23"/>
    </row>
  </sheetData>
  <mergeCells count="3">
    <mergeCell ref="A54:E57"/>
    <mergeCell ref="A66:E69"/>
    <mergeCell ref="A60:E63"/>
  </mergeCells>
  <dataValidations count="1">
    <dataValidation type="list" allowBlank="1" sqref="D18 D19 D20 D21 D22 D23 D24 D25 D26 D27 D28 D29 D30 D31 D32 D33 D34 D35 D36 D37 D38 D39" xr:uid="{00000000-0002-0000-0200-000000000000}">
      <formula1>"Operating,Non-Operating"</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9"/>
  <sheetViews>
    <sheetView workbookViewId="0"/>
  </sheetViews>
  <sheetFormatPr defaultRowHeight="21" x14ac:dyDescent="0.25"/>
  <sheetData>
    <row r="1" spans="1:5" ht="18.75" x14ac:dyDescent="0.3">
      <c r="A1" s="1" t="s">
        <v>53</v>
      </c>
      <c r="D1" s="15" t="s">
        <v>109</v>
      </c>
    </row>
    <row r="3" spans="1:5" ht="15" x14ac:dyDescent="0.25">
      <c r="A3" s="6" t="s">
        <v>54</v>
      </c>
      <c r="B3" s="7"/>
      <c r="C3" s="7"/>
      <c r="D3" s="7"/>
    </row>
    <row r="4" spans="1:5" ht="15" x14ac:dyDescent="0.25">
      <c r="A4" t="s">
        <v>55</v>
      </c>
      <c r="B4" s="16">
        <v>15749.5</v>
      </c>
    </row>
    <row r="6" spans="1:5" ht="15" x14ac:dyDescent="0.25">
      <c r="A6" s="6" t="s">
        <v>56</v>
      </c>
      <c r="B6" s="7"/>
      <c r="C6" s="7"/>
      <c r="D6" s="7"/>
    </row>
    <row r="7" spans="1:5" ht="15" x14ac:dyDescent="0.25">
      <c r="B7" s="9" t="s">
        <v>3</v>
      </c>
      <c r="C7" s="9" t="s">
        <v>4</v>
      </c>
    </row>
    <row r="8" spans="1:5" ht="15" x14ac:dyDescent="0.25">
      <c r="A8" t="s">
        <v>57</v>
      </c>
      <c r="B8" s="17">
        <v>0.90390000000000004</v>
      </c>
      <c r="C8" s="17">
        <v>0.79170000000000007</v>
      </c>
    </row>
    <row r="9" spans="1:5" ht="15" x14ac:dyDescent="0.25">
      <c r="A9" t="s">
        <v>58</v>
      </c>
      <c r="B9" s="17">
        <v>0.19259999999999999</v>
      </c>
      <c r="C9" s="17">
        <v>0.17</v>
      </c>
    </row>
    <row r="10" spans="1:5" ht="15" x14ac:dyDescent="0.25">
      <c r="A10" t="s">
        <v>59</v>
      </c>
      <c r="B10" s="18">
        <v>4.6900000000000004</v>
      </c>
      <c r="C10" s="18">
        <v>4.6500000000000004</v>
      </c>
    </row>
    <row r="11" spans="1:5" ht="15" x14ac:dyDescent="0.25">
      <c r="A11" t="s">
        <v>60</v>
      </c>
      <c r="B11" s="18">
        <v>1.0003</v>
      </c>
      <c r="C11" s="18">
        <v>1.0003</v>
      </c>
    </row>
    <row r="12" spans="1:5" ht="15" x14ac:dyDescent="0.25">
      <c r="A12" t="s">
        <v>61</v>
      </c>
      <c r="B12" s="17">
        <v>0.19040000000000001</v>
      </c>
      <c r="C12" s="17">
        <v>0.18640000000000001</v>
      </c>
    </row>
    <row r="13" spans="1:5" ht="15" x14ac:dyDescent="0.25">
      <c r="A13" t="s">
        <v>62</v>
      </c>
      <c r="B13" s="18">
        <v>1.01</v>
      </c>
      <c r="C13" s="18">
        <v>0.91</v>
      </c>
    </row>
    <row r="16" spans="1:5" ht="15" x14ac:dyDescent="0.25">
      <c r="A16" s="6" t="s">
        <v>63</v>
      </c>
      <c r="B16" s="7"/>
      <c r="C16" s="7"/>
      <c r="D16" s="7"/>
      <c r="E16" s="7"/>
    </row>
    <row r="17" spans="1:5" ht="15" x14ac:dyDescent="0.25">
      <c r="A17" s="3" t="s">
        <v>64</v>
      </c>
      <c r="B17" s="3" t="s">
        <v>3</v>
      </c>
      <c r="C17" s="3" t="s">
        <v>4</v>
      </c>
      <c r="D17" s="3" t="s">
        <v>65</v>
      </c>
      <c r="E17" s="3" t="s">
        <v>66</v>
      </c>
    </row>
    <row r="18" spans="1:5" ht="15" x14ac:dyDescent="0.25">
      <c r="A18" t="s">
        <v>67</v>
      </c>
      <c r="B18" s="4">
        <v>708</v>
      </c>
      <c r="C18" s="4">
        <v>1527</v>
      </c>
      <c r="D18" s="19" t="s">
        <v>110</v>
      </c>
    </row>
    <row r="19" spans="1:5" ht="15" x14ac:dyDescent="0.25">
      <c r="A19" t="s">
        <v>68</v>
      </c>
      <c r="B19" s="4">
        <v>3171</v>
      </c>
      <c r="C19" s="4">
        <v>2840</v>
      </c>
      <c r="D19" s="19" t="s">
        <v>111</v>
      </c>
    </row>
    <row r="20" spans="1:5" ht="15" x14ac:dyDescent="0.25">
      <c r="A20" t="s">
        <v>69</v>
      </c>
      <c r="B20" s="4">
        <v>2054</v>
      </c>
      <c r="C20" s="4">
        <v>1694</v>
      </c>
      <c r="D20" s="19" t="s">
        <v>111</v>
      </c>
    </row>
    <row r="21" spans="1:5" ht="15" x14ac:dyDescent="0.25">
      <c r="A21" t="s">
        <v>70</v>
      </c>
      <c r="B21" s="4">
        <v>329</v>
      </c>
      <c r="C21" s="4">
        <v>313</v>
      </c>
      <c r="D21" s="19" t="s">
        <v>111</v>
      </c>
    </row>
    <row r="22" spans="1:5" ht="15" x14ac:dyDescent="0.25">
      <c r="A22" t="s">
        <v>71</v>
      </c>
      <c r="B22" s="4">
        <v>8</v>
      </c>
      <c r="C22" s="4">
        <v>0</v>
      </c>
      <c r="D22" s="19" t="s">
        <v>110</v>
      </c>
    </row>
    <row r="23" spans="1:5" ht="15" x14ac:dyDescent="0.25">
      <c r="A23" t="s">
        <v>72</v>
      </c>
      <c r="B23" s="4">
        <v>1848</v>
      </c>
      <c r="C23" s="4">
        <v>1809</v>
      </c>
      <c r="D23" s="19" t="s">
        <v>111</v>
      </c>
    </row>
    <row r="24" spans="1:5" ht="15" x14ac:dyDescent="0.25">
      <c r="A24" t="s">
        <v>40</v>
      </c>
      <c r="B24" s="4">
        <v>4864</v>
      </c>
      <c r="C24" s="4">
        <v>4965</v>
      </c>
      <c r="D24" s="19" t="s">
        <v>111</v>
      </c>
    </row>
    <row r="25" spans="1:5" ht="15" x14ac:dyDescent="0.25">
      <c r="A25" t="s">
        <v>73</v>
      </c>
      <c r="B25" s="4">
        <v>768</v>
      </c>
      <c r="C25" s="4">
        <v>972</v>
      </c>
      <c r="D25" s="19" t="s">
        <v>111</v>
      </c>
    </row>
    <row r="26" spans="1:5" ht="15" x14ac:dyDescent="0.25">
      <c r="A26" t="s">
        <v>74</v>
      </c>
      <c r="B26" s="4">
        <v>494</v>
      </c>
      <c r="C26" s="4">
        <v>552</v>
      </c>
      <c r="D26" s="19" t="s">
        <v>111</v>
      </c>
    </row>
    <row r="27" spans="1:5" ht="15" x14ac:dyDescent="0.25">
      <c r="A27" t="s">
        <v>75</v>
      </c>
      <c r="B27" s="4">
        <v>1178</v>
      </c>
      <c r="C27" s="4">
        <v>1405</v>
      </c>
      <c r="D27" s="19" t="s">
        <v>111</v>
      </c>
    </row>
    <row r="28" spans="1:5" ht="15" x14ac:dyDescent="0.25">
      <c r="A28" t="s">
        <v>76</v>
      </c>
      <c r="B28" s="4">
        <v>1590</v>
      </c>
      <c r="C28" s="4">
        <v>778</v>
      </c>
      <c r="D28" s="19" t="s">
        <v>110</v>
      </c>
    </row>
    <row r="29" spans="1:5" ht="15" x14ac:dyDescent="0.25">
      <c r="A29" t="s">
        <v>77</v>
      </c>
      <c r="B29" s="4">
        <v>594</v>
      </c>
      <c r="C29" s="4">
        <v>585</v>
      </c>
      <c r="D29" s="19" t="s">
        <v>111</v>
      </c>
    </row>
    <row r="30" spans="1:5" ht="15" x14ac:dyDescent="0.25">
      <c r="A30" t="s">
        <v>78</v>
      </c>
      <c r="B30" s="4">
        <v>55</v>
      </c>
      <c r="C30" s="4">
        <v>61</v>
      </c>
      <c r="D30" s="19" t="s">
        <v>110</v>
      </c>
    </row>
    <row r="31" spans="1:5" ht="15" x14ac:dyDescent="0.25">
      <c r="A31" t="s">
        <v>79</v>
      </c>
      <c r="B31" s="4">
        <v>1673</v>
      </c>
      <c r="C31" s="4">
        <v>1587</v>
      </c>
      <c r="D31" s="19" t="s">
        <v>111</v>
      </c>
    </row>
    <row r="32" spans="1:5" ht="15" x14ac:dyDescent="0.25">
      <c r="A32" t="s">
        <v>80</v>
      </c>
      <c r="B32" s="4">
        <v>400</v>
      </c>
      <c r="C32" s="4">
        <v>382</v>
      </c>
      <c r="D32" s="19" t="s">
        <v>110</v>
      </c>
    </row>
    <row r="33" spans="1:4" ht="15" x14ac:dyDescent="0.25">
      <c r="A33" t="s">
        <v>81</v>
      </c>
      <c r="B33" s="4">
        <v>147</v>
      </c>
      <c r="C33" s="4">
        <v>77</v>
      </c>
      <c r="D33" s="19" t="s">
        <v>111</v>
      </c>
    </row>
    <row r="34" spans="1:4" ht="15" x14ac:dyDescent="0.25">
      <c r="A34" t="s">
        <v>82</v>
      </c>
      <c r="B34" s="4">
        <v>1</v>
      </c>
      <c r="C34" s="4">
        <v>0</v>
      </c>
      <c r="D34" s="19" t="s">
        <v>110</v>
      </c>
    </row>
    <row r="35" spans="1:4" ht="15" x14ac:dyDescent="0.25">
      <c r="A35" t="s">
        <v>83</v>
      </c>
      <c r="B35" s="4">
        <v>6173</v>
      </c>
      <c r="C35" s="4">
        <v>6909</v>
      </c>
      <c r="D35" s="19" t="s">
        <v>110</v>
      </c>
    </row>
    <row r="36" spans="1:4" ht="15" x14ac:dyDescent="0.25">
      <c r="A36" t="s">
        <v>84</v>
      </c>
      <c r="B36" s="4">
        <v>484</v>
      </c>
      <c r="C36" s="4">
        <v>654</v>
      </c>
      <c r="D36" s="19" t="s">
        <v>111</v>
      </c>
    </row>
    <row r="37" spans="1:4" ht="15" x14ac:dyDescent="0.25">
      <c r="A37" t="s">
        <v>85</v>
      </c>
      <c r="B37" s="4">
        <v>273</v>
      </c>
      <c r="C37" s="4">
        <v>365</v>
      </c>
      <c r="D37" s="19" t="s">
        <v>111</v>
      </c>
    </row>
    <row r="38" spans="1:4" ht="15" x14ac:dyDescent="0.25">
      <c r="A38" t="s">
        <v>86</v>
      </c>
      <c r="B38" s="4">
        <v>131</v>
      </c>
      <c r="C38" s="4">
        <v>133</v>
      </c>
      <c r="D38" s="19" t="s">
        <v>110</v>
      </c>
    </row>
    <row r="39" spans="1:4" ht="15" x14ac:dyDescent="0.25">
      <c r="A39" t="s">
        <v>87</v>
      </c>
      <c r="B39" s="4">
        <v>812</v>
      </c>
      <c r="C39" s="4">
        <v>920</v>
      </c>
      <c r="D39" s="19" t="s">
        <v>111</v>
      </c>
    </row>
    <row r="41" spans="1:4" ht="15" x14ac:dyDescent="0.25">
      <c r="A41" s="13" t="s">
        <v>88</v>
      </c>
      <c r="B41" s="20">
        <v>10543</v>
      </c>
    </row>
    <row r="43" spans="1:4" ht="15" x14ac:dyDescent="0.25">
      <c r="A43" s="6" t="s">
        <v>89</v>
      </c>
      <c r="B43" s="7"/>
      <c r="C43" s="7"/>
      <c r="D43" s="7"/>
    </row>
    <row r="44" spans="1:4" ht="15" x14ac:dyDescent="0.25">
      <c r="A44" t="s">
        <v>90</v>
      </c>
      <c r="B44" s="20">
        <v>2993</v>
      </c>
    </row>
    <row r="46" spans="1:4" ht="15" x14ac:dyDescent="0.25">
      <c r="B46" s="9" t="s">
        <v>3</v>
      </c>
      <c r="C46" s="9" t="s">
        <v>4</v>
      </c>
    </row>
    <row r="47" spans="1:4" ht="15" x14ac:dyDescent="0.25">
      <c r="A47" t="s">
        <v>91</v>
      </c>
      <c r="B47" s="17">
        <v>0.28389999999999999</v>
      </c>
      <c r="C47" s="17">
        <v>0.28620000000000001</v>
      </c>
    </row>
    <row r="48" spans="1:4" ht="15" x14ac:dyDescent="0.25">
      <c r="A48" t="s">
        <v>92</v>
      </c>
      <c r="B48" s="17">
        <v>0.18790000000000001</v>
      </c>
      <c r="C48" s="17">
        <v>0.19450000000000001</v>
      </c>
    </row>
    <row r="49" spans="1:5" ht="15" x14ac:dyDescent="0.25">
      <c r="A49" t="s">
        <v>93</v>
      </c>
      <c r="B49" s="18">
        <v>1.5112000000000001</v>
      </c>
      <c r="C49" s="18">
        <v>1.4712000000000001</v>
      </c>
    </row>
    <row r="52" spans="1:5" ht="15" x14ac:dyDescent="0.25">
      <c r="A52" s="6" t="s">
        <v>94</v>
      </c>
      <c r="B52" s="7"/>
      <c r="C52" s="7"/>
      <c r="D52" s="7"/>
      <c r="E52" s="7"/>
    </row>
    <row r="53" spans="1:5" ht="15" x14ac:dyDescent="0.25">
      <c r="A53" s="13" t="s">
        <v>95</v>
      </c>
    </row>
    <row r="54" spans="1:5" ht="345" x14ac:dyDescent="0.25">
      <c r="A54" s="21" t="s">
        <v>112</v>
      </c>
    </row>
    <row r="55" spans="1:5" ht="15" x14ac:dyDescent="0.25"/>
    <row r="56" spans="1:5" ht="15" x14ac:dyDescent="0.25"/>
    <row r="57" spans="1:5" ht="15" x14ac:dyDescent="0.25"/>
    <row r="59" spans="1:5" ht="15" x14ac:dyDescent="0.25">
      <c r="A59" s="13" t="s">
        <v>96</v>
      </c>
    </row>
    <row r="60" spans="1:5" ht="409.5" x14ac:dyDescent="0.25">
      <c r="A60" s="21" t="s">
        <v>113</v>
      </c>
    </row>
    <row r="61" spans="1:5" ht="15" x14ac:dyDescent="0.25"/>
    <row r="62" spans="1:5" ht="15" x14ac:dyDescent="0.25"/>
    <row r="63" spans="1:5" ht="15" x14ac:dyDescent="0.25"/>
    <row r="65" spans="1:1" ht="15" x14ac:dyDescent="0.25">
      <c r="A65" s="13" t="s">
        <v>97</v>
      </c>
    </row>
    <row r="66" spans="1:1" ht="409.5" x14ac:dyDescent="0.25">
      <c r="A66" s="21" t="s">
        <v>114</v>
      </c>
    </row>
    <row r="67" spans="1:1" ht="15" x14ac:dyDescent="0.25"/>
    <row r="68" spans="1:1" ht="15" x14ac:dyDescent="0.25"/>
    <row r="69" spans="1:1" 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9"/>
  <sheetViews>
    <sheetView workbookViewId="0"/>
  </sheetViews>
  <sheetFormatPr defaultRowHeight="21" x14ac:dyDescent="0.25"/>
  <sheetData>
    <row r="1" spans="1:5" ht="18.75" x14ac:dyDescent="0.3">
      <c r="A1" s="1" t="s">
        <v>98</v>
      </c>
      <c r="D1" s="15" t="s">
        <v>109</v>
      </c>
    </row>
    <row r="3" spans="1:5" ht="15" x14ac:dyDescent="0.25">
      <c r="A3" s="6" t="s">
        <v>54</v>
      </c>
      <c r="B3" s="7"/>
      <c r="C3" s="7"/>
      <c r="D3" s="7"/>
    </row>
    <row r="4" spans="1:5" ht="15" x14ac:dyDescent="0.25">
      <c r="A4" t="s">
        <v>55</v>
      </c>
      <c r="B4" s="16">
        <v>23142571.5</v>
      </c>
    </row>
    <row r="6" spans="1:5" ht="15" x14ac:dyDescent="0.25">
      <c r="A6" s="6" t="s">
        <v>56</v>
      </c>
      <c r="B6" s="7"/>
      <c r="C6" s="7"/>
      <c r="D6" s="7"/>
    </row>
    <row r="7" spans="1:5" ht="15" x14ac:dyDescent="0.25">
      <c r="B7" s="9" t="s">
        <v>3</v>
      </c>
      <c r="C7" s="9" t="s">
        <v>4</v>
      </c>
    </row>
    <row r="8" spans="1:5" ht="15" x14ac:dyDescent="0.25">
      <c r="A8" t="s">
        <v>57</v>
      </c>
      <c r="B8" s="17">
        <v>0.15260000000000001</v>
      </c>
      <c r="C8" s="17">
        <v>0.23880000000000001</v>
      </c>
    </row>
    <row r="9" spans="1:5" ht="15" x14ac:dyDescent="0.25">
      <c r="A9" t="s">
        <v>58</v>
      </c>
      <c r="B9" s="17">
        <v>5.6900000000000013E-2</v>
      </c>
      <c r="C9" s="17">
        <v>8.6800000000000002E-2</v>
      </c>
    </row>
    <row r="10" spans="1:5" ht="15" x14ac:dyDescent="0.25">
      <c r="A10" t="s">
        <v>59</v>
      </c>
      <c r="B10" s="18">
        <v>2.68</v>
      </c>
      <c r="C10" s="18">
        <v>2.74</v>
      </c>
    </row>
    <row r="11" spans="1:5" ht="15" x14ac:dyDescent="0.25">
      <c r="A11" t="s">
        <v>60</v>
      </c>
      <c r="B11" s="18">
        <v>1.0011000000000001</v>
      </c>
      <c r="C11" s="18">
        <v>1.0016</v>
      </c>
    </row>
    <row r="12" spans="1:5" ht="15" x14ac:dyDescent="0.25">
      <c r="A12" t="s">
        <v>61</v>
      </c>
      <c r="B12" s="17">
        <v>8.3000000000000004E-2</v>
      </c>
      <c r="C12" s="17">
        <v>0.12180000000000001</v>
      </c>
    </row>
    <row r="13" spans="1:5" ht="15" x14ac:dyDescent="0.25">
      <c r="A13" t="s">
        <v>62</v>
      </c>
      <c r="B13" s="18">
        <v>0.69</v>
      </c>
      <c r="C13" s="18">
        <v>0.71</v>
      </c>
    </row>
    <row r="16" spans="1:5" ht="15" x14ac:dyDescent="0.25">
      <c r="A16" s="6" t="s">
        <v>63</v>
      </c>
      <c r="B16" s="7"/>
      <c r="C16" s="7"/>
      <c r="D16" s="7"/>
      <c r="E16" s="7"/>
    </row>
    <row r="17" spans="1:5" ht="15" x14ac:dyDescent="0.25">
      <c r="A17" s="3" t="s">
        <v>64</v>
      </c>
      <c r="B17" s="3" t="s">
        <v>3</v>
      </c>
      <c r="C17" s="3" t="s">
        <v>4</v>
      </c>
      <c r="D17" s="3" t="s">
        <v>65</v>
      </c>
      <c r="E17" s="3" t="s">
        <v>66</v>
      </c>
    </row>
    <row r="18" spans="1:5" ht="15" x14ac:dyDescent="0.25">
      <c r="A18" t="s">
        <v>67</v>
      </c>
      <c r="B18" s="4">
        <v>535799</v>
      </c>
      <c r="C18" s="4">
        <v>733117</v>
      </c>
      <c r="D18" s="19" t="s">
        <v>110</v>
      </c>
    </row>
    <row r="19" spans="1:5" ht="15" x14ac:dyDescent="0.25">
      <c r="A19" t="s">
        <v>99</v>
      </c>
      <c r="B19" s="4">
        <v>27862</v>
      </c>
      <c r="C19" s="4">
        <v>39116</v>
      </c>
      <c r="D19" s="19" t="s">
        <v>110</v>
      </c>
    </row>
    <row r="20" spans="1:5" ht="15" x14ac:dyDescent="0.25">
      <c r="A20" t="s">
        <v>68</v>
      </c>
      <c r="B20" s="4">
        <v>2341504</v>
      </c>
      <c r="C20" s="4">
        <v>2183594</v>
      </c>
      <c r="D20" s="19" t="s">
        <v>111</v>
      </c>
    </row>
    <row r="21" spans="1:5" ht="15" x14ac:dyDescent="0.25">
      <c r="A21" t="s">
        <v>100</v>
      </c>
      <c r="B21" s="4">
        <v>543757</v>
      </c>
      <c r="C21" s="4">
        <v>326315</v>
      </c>
      <c r="D21" s="19" t="s">
        <v>110</v>
      </c>
    </row>
    <row r="22" spans="1:5" ht="15" x14ac:dyDescent="0.25">
      <c r="A22" t="s">
        <v>69</v>
      </c>
      <c r="B22" s="4">
        <v>2214553</v>
      </c>
      <c r="C22" s="4">
        <v>2090642</v>
      </c>
      <c r="D22" s="19" t="s">
        <v>111</v>
      </c>
    </row>
    <row r="23" spans="1:5" ht="15" x14ac:dyDescent="0.25">
      <c r="A23" t="s">
        <v>70</v>
      </c>
      <c r="B23" s="4">
        <v>6383169</v>
      </c>
      <c r="C23" s="4">
        <v>243966</v>
      </c>
      <c r="D23" s="19" t="s">
        <v>111</v>
      </c>
    </row>
    <row r="24" spans="1:5" ht="15" x14ac:dyDescent="0.25">
      <c r="A24" t="s">
        <v>39</v>
      </c>
      <c r="B24" s="4">
        <v>2122758</v>
      </c>
      <c r="C24" s="4">
        <v>2266476</v>
      </c>
      <c r="D24" s="19" t="s">
        <v>111</v>
      </c>
    </row>
    <row r="25" spans="1:5" ht="15" x14ac:dyDescent="0.25">
      <c r="A25" t="s">
        <v>101</v>
      </c>
      <c r="B25" s="4">
        <v>110585</v>
      </c>
      <c r="C25" s="4">
        <v>104251</v>
      </c>
      <c r="D25" s="19" t="s">
        <v>111</v>
      </c>
    </row>
    <row r="26" spans="1:5" ht="15" x14ac:dyDescent="0.25">
      <c r="A26" t="s">
        <v>102</v>
      </c>
      <c r="B26" s="4">
        <v>788057</v>
      </c>
      <c r="C26" s="4">
        <v>774239</v>
      </c>
      <c r="D26" s="19" t="s">
        <v>110</v>
      </c>
    </row>
    <row r="27" spans="1:5" ht="15" x14ac:dyDescent="0.25">
      <c r="A27" t="s">
        <v>103</v>
      </c>
      <c r="B27" s="4">
        <v>3135817</v>
      </c>
      <c r="C27" s="4">
        <v>3519797</v>
      </c>
      <c r="D27" s="19" t="s">
        <v>111</v>
      </c>
    </row>
    <row r="28" spans="1:5" ht="15" x14ac:dyDescent="0.25">
      <c r="A28" t="s">
        <v>40</v>
      </c>
      <c r="B28" s="4">
        <v>7740082</v>
      </c>
      <c r="C28" s="4">
        <v>8059687</v>
      </c>
      <c r="D28" s="19" t="s">
        <v>111</v>
      </c>
    </row>
    <row r="29" spans="1:5" ht="15" x14ac:dyDescent="0.25">
      <c r="A29" t="s">
        <v>104</v>
      </c>
      <c r="B29" s="4">
        <v>1724310</v>
      </c>
      <c r="C29" s="4">
        <v>2824</v>
      </c>
      <c r="D29" s="19" t="s">
        <v>110</v>
      </c>
    </row>
    <row r="30" spans="1:5" ht="15" x14ac:dyDescent="0.25">
      <c r="A30" t="s">
        <v>77</v>
      </c>
      <c r="B30" s="4">
        <v>1731925</v>
      </c>
      <c r="C30" s="4">
        <v>1667878</v>
      </c>
      <c r="D30" s="19" t="s">
        <v>111</v>
      </c>
    </row>
    <row r="31" spans="1:5" ht="15" x14ac:dyDescent="0.25">
      <c r="A31" t="s">
        <v>105</v>
      </c>
      <c r="B31" s="4">
        <v>470132</v>
      </c>
      <c r="C31" s="4">
        <v>507027</v>
      </c>
      <c r="D31" s="19" t="s">
        <v>111</v>
      </c>
    </row>
    <row r="32" spans="1:5" ht="15" x14ac:dyDescent="0.25">
      <c r="A32" t="s">
        <v>106</v>
      </c>
      <c r="B32" s="4">
        <v>250292</v>
      </c>
      <c r="C32" s="4">
        <v>236384</v>
      </c>
      <c r="D32" s="19" t="s">
        <v>111</v>
      </c>
    </row>
    <row r="33" spans="1:4" ht="15" x14ac:dyDescent="0.25">
      <c r="A33" t="s">
        <v>78</v>
      </c>
      <c r="B33" s="4">
        <v>36023</v>
      </c>
      <c r="C33" s="4">
        <v>40193</v>
      </c>
      <c r="D33" s="19" t="s">
        <v>110</v>
      </c>
    </row>
    <row r="34" spans="1:4" ht="15" x14ac:dyDescent="0.25">
      <c r="A34" t="s">
        <v>107</v>
      </c>
      <c r="B34" s="4">
        <v>1646636</v>
      </c>
      <c r="C34" s="4">
        <v>642197</v>
      </c>
      <c r="D34" s="19" t="s">
        <v>111</v>
      </c>
    </row>
    <row r="35" spans="1:4" ht="15" x14ac:dyDescent="0.25">
      <c r="A35" t="s">
        <v>83</v>
      </c>
      <c r="B35" s="4">
        <v>9755825</v>
      </c>
      <c r="C35" s="4">
        <v>6582053</v>
      </c>
      <c r="D35" s="19" t="s">
        <v>110</v>
      </c>
    </row>
    <row r="36" spans="1:4" ht="15" x14ac:dyDescent="0.25">
      <c r="A36" t="s">
        <v>43</v>
      </c>
      <c r="B36" s="4">
        <v>639939</v>
      </c>
      <c r="C36" s="4">
        <v>1055638</v>
      </c>
      <c r="D36" s="19" t="s">
        <v>111</v>
      </c>
    </row>
    <row r="37" spans="1:4" ht="15" x14ac:dyDescent="0.25">
      <c r="A37" t="s">
        <v>108</v>
      </c>
      <c r="B37" s="4">
        <v>307044</v>
      </c>
      <c r="C37" s="4">
        <v>553981</v>
      </c>
      <c r="D37" s="19" t="s">
        <v>111</v>
      </c>
    </row>
    <row r="38" spans="1:4" ht="15" x14ac:dyDescent="0.25">
      <c r="A38" t="s">
        <v>86</v>
      </c>
      <c r="B38" s="4">
        <v>100337</v>
      </c>
      <c r="C38" s="4">
        <v>93904</v>
      </c>
      <c r="D38" s="19" t="s">
        <v>110</v>
      </c>
    </row>
    <row r="39" spans="1:4" ht="15" x14ac:dyDescent="0.25">
      <c r="A39" t="s">
        <v>87</v>
      </c>
      <c r="B39" s="4">
        <v>421560</v>
      </c>
      <c r="C39" s="4">
        <v>545451</v>
      </c>
      <c r="D39" s="19" t="s">
        <v>111</v>
      </c>
    </row>
    <row r="41" spans="1:4" ht="15" x14ac:dyDescent="0.25">
      <c r="A41" s="13" t="s">
        <v>88</v>
      </c>
      <c r="B41" s="20">
        <v>15920399</v>
      </c>
    </row>
    <row r="43" spans="1:4" ht="15" x14ac:dyDescent="0.25">
      <c r="A43" s="6" t="s">
        <v>89</v>
      </c>
      <c r="B43" s="7"/>
      <c r="C43" s="7"/>
      <c r="D43" s="7"/>
    </row>
    <row r="44" spans="1:4" ht="15" x14ac:dyDescent="0.25">
      <c r="A44" t="s">
        <v>90</v>
      </c>
      <c r="B44" s="20">
        <v>2283480</v>
      </c>
    </row>
    <row r="46" spans="1:4" ht="15" x14ac:dyDescent="0.25">
      <c r="B46" s="9" t="s">
        <v>3</v>
      </c>
      <c r="C46" s="9" t="s">
        <v>4</v>
      </c>
    </row>
    <row r="47" spans="1:4" ht="15" x14ac:dyDescent="0.25">
      <c r="A47" t="s">
        <v>91</v>
      </c>
      <c r="B47" s="17">
        <v>0.1434</v>
      </c>
      <c r="C47" s="17">
        <v>0.14649999999999999</v>
      </c>
    </row>
    <row r="48" spans="1:4" ht="15" x14ac:dyDescent="0.25">
      <c r="A48" t="s">
        <v>92</v>
      </c>
      <c r="B48" s="17">
        <v>0.14399999999999999</v>
      </c>
      <c r="C48" s="17">
        <v>0.13439999999999999</v>
      </c>
    </row>
    <row r="49" spans="1:5" ht="15" x14ac:dyDescent="0.25">
      <c r="A49" t="s">
        <v>93</v>
      </c>
      <c r="B49" s="18">
        <v>0.99629999999999996</v>
      </c>
      <c r="C49" s="18">
        <v>1.0894999999999999</v>
      </c>
    </row>
    <row r="52" spans="1:5" ht="15" x14ac:dyDescent="0.25">
      <c r="A52" s="6" t="s">
        <v>94</v>
      </c>
      <c r="B52" s="7"/>
      <c r="C52" s="7"/>
      <c r="D52" s="7"/>
      <c r="E52" s="7"/>
    </row>
    <row r="53" spans="1:5" ht="15" x14ac:dyDescent="0.25">
      <c r="A53" s="13" t="s">
        <v>95</v>
      </c>
    </row>
    <row r="54" spans="1:5" ht="390" x14ac:dyDescent="0.25">
      <c r="A54" s="21" t="s">
        <v>115</v>
      </c>
    </row>
    <row r="55" spans="1:5" ht="15" x14ac:dyDescent="0.25"/>
    <row r="56" spans="1:5" ht="15" x14ac:dyDescent="0.25"/>
    <row r="57" spans="1:5" ht="15" x14ac:dyDescent="0.25"/>
    <row r="59" spans="1:5" ht="15" x14ac:dyDescent="0.25">
      <c r="A59" s="13" t="s">
        <v>96</v>
      </c>
    </row>
    <row r="60" spans="1:5" ht="409.5" x14ac:dyDescent="0.25">
      <c r="A60" s="21" t="s">
        <v>116</v>
      </c>
    </row>
    <row r="61" spans="1:5" ht="15" x14ac:dyDescent="0.25"/>
    <row r="62" spans="1:5" ht="15" x14ac:dyDescent="0.25"/>
    <row r="63" spans="1:5" ht="15" x14ac:dyDescent="0.25"/>
    <row r="65" spans="1:1" ht="15" x14ac:dyDescent="0.25">
      <c r="A65" s="13" t="s">
        <v>97</v>
      </c>
    </row>
    <row r="66" spans="1:1" ht="409.5" x14ac:dyDescent="0.25">
      <c r="A66" s="21" t="s">
        <v>117</v>
      </c>
    </row>
    <row r="67" spans="1:1" ht="15" x14ac:dyDescent="0.25"/>
    <row r="68" spans="1:1" ht="15" x14ac:dyDescent="0.25"/>
    <row r="69" spans="1:1" 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Reference Data</vt:lpstr>
      <vt:lpstr>ITW Analysis</vt:lpstr>
      <vt:lpstr>PH Analysis</vt:lpstr>
      <vt:lpstr>ITW Key</vt:lpstr>
      <vt:lpstr>PH 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Joo Ha</cp:lastModifiedBy>
  <dcterms:created xsi:type="dcterms:W3CDTF">2026-02-10T00:29:15Z</dcterms:created>
  <dcterms:modified xsi:type="dcterms:W3CDTF">2026-02-10T00:31:05Z</dcterms:modified>
</cp:coreProperties>
</file>